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09d848795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a1044355c646b1"/>
    <x:sheet xmlns:r="http://schemas.openxmlformats.org/officeDocument/2006/relationships" name="Accounts" sheetId="2" r:id="R1a40393f68c943be"/>
    <x:sheet xmlns:r="http://schemas.openxmlformats.org/officeDocument/2006/relationships" name="Contacts" sheetId="3" r:id="Ra76ea6c7d4ed4cdd"/>
    <x:sheet xmlns:r="http://schemas.openxmlformats.org/officeDocument/2006/relationships" name="Opportunities" sheetId="4" r:id="R6c29ebb8ebba429c"/>
    <x:sheet xmlns:r="http://schemas.openxmlformats.org/officeDocument/2006/relationships" name="Outreach &amp; Activities" sheetId="5" r:id="Rad7a77ef046d44c6"/>
    <x:sheet xmlns:r="http://schemas.openxmlformats.org/officeDocument/2006/relationships" name="Research Sources" sheetId="6" r:id="R8ad5f4d3164d4903"/>
    <x:sheet xmlns:r="http://schemas.openxmlformats.org/officeDocument/2006/relationships" name="How to Use" sheetId="7" r:id="Rb023450080cc488f"/>
    <x:sheet xmlns:r="http://schemas.openxmlformats.org/officeDocument/2006/relationships" name="Lists" sheetId="8" r:id="Re2ec3c862f94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1"/>
      <x:color rgb="FF17365D"/>
      <x:name val="Carlito"/>
    </x:font>
    <x:font>
      <x:b/>
      <x:sz val="10"/>
      <x:color rgb="FF222222"/>
      <x:name val="Arial"/>
    </x:font>
    <x:font>
      <x:sz val="10"/>
      <x:color rgb="FF222222"/>
      <x:name val="Arial"/>
    </x:font>
    <x:font>
      <x:i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4">
    <x:border/>
    <x:border>
      <x:bottom style="medium">
        <x:color rgb="FF008C9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3" borderId="3" xfId="0" applyNumberFormat="1" applyFont="1" applyFill="1" applyBorder="1"/>
    <x:xf numFmtId="201" fontId="0" fillId="3" borderId="3" xfId="0" applyNumberFormat="1" applyFont="1" applyFill="1" applyBorder="1"/>
    <x:xf numFmtId="0" fontId="4" fillId="3" borderId="3" xfId="0" applyNumberFormat="1" applyFont="1" applyFill="1" applyBorder="1"/>
    <x:xf numFmtId="201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horizontal="right"/>
    </x:xf>
    <x:xf numFmtId="201" fontId="4" fillId="3" borderId="3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1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dc21dc69e4b0d" /><Relationship Type="http://schemas.openxmlformats.org/officeDocument/2006/relationships/theme" Target="/xl/theme/theme1.xml" Id="Raca10b07a6244746" /><Relationship Type="http://schemas.openxmlformats.org/officeDocument/2006/relationships/sharedStrings" Target="/xl/sharedStrings.xml" Id="R10a7a9e5b66443fa" /><Relationship Type="http://schemas.openxmlformats.org/officeDocument/2006/relationships/worksheet" Target="/xl/worksheets/sheet1.xml" Id="Rb8a1044355c646b1" /><Relationship Type="http://schemas.openxmlformats.org/officeDocument/2006/relationships/worksheet" Target="/xl/worksheets/sheet2.xml" Id="R1a40393f68c943be" /><Relationship Type="http://schemas.openxmlformats.org/officeDocument/2006/relationships/worksheet" Target="/xl/worksheets/sheet3.xml" Id="Ra76ea6c7d4ed4cdd" /><Relationship Type="http://schemas.openxmlformats.org/officeDocument/2006/relationships/worksheet" Target="/xl/worksheets/sheet4.xml" Id="R6c29ebb8ebba429c" /><Relationship Type="http://schemas.openxmlformats.org/officeDocument/2006/relationships/worksheet" Target="/xl/worksheets/sheet5.xml" Id="Rad7a77ef046d44c6" /><Relationship Type="http://schemas.openxmlformats.org/officeDocument/2006/relationships/worksheet" Target="/xl/worksheets/sheet6.xml" Id="R8ad5f4d3164d4903" /><Relationship Type="http://schemas.openxmlformats.org/officeDocument/2006/relationships/worksheet" Target="/xl/worksheets/sheet7.xml" Id="Rb023450080cc488f" /><Relationship Type="http://schemas.openxmlformats.org/officeDocument/2006/relationships/worksheet" Target="/xl/worksheets/sheet8.xml" Id="Re2ec3c862f9444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21e98957b4435b" /><Relationship Type="http://schemas.openxmlformats.org/officeDocument/2006/relationships/chart" Target="/xl/drawings/charts/chart2.xml" Id="R1309ca82faa44573" /><Relationship Type="http://schemas.openxmlformats.org/officeDocument/2006/relationships/chart" Target="/xl/drawings/charts/chart3.xml" Id="R00a0ffde43c548d5" /><Relationship Type="http://schemas.openxmlformats.org/officeDocument/2006/relationships/chart" Target="/xl/drawings/charts/chart4.xml" Id="R62d0bd1256a44b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Leads by sector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Contacts</c:v>
          </c:tx>
          <c:cat>
            <c:strRef>
              <c:f>'Dashboard'!$D$6:$D$11</c:f>
              <c:strCache>
                <c:ptCount val="0"/>
              </c:strCache>
            </c:strRef>
          </c:cat>
          <c:val>
            <c:numRef>
              <c:f>'Dashboard'!$E$6:$E$11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Leads by seniority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Contacts</c:v>
          </c:tx>
          <c:cat>
            <c:strRef>
              <c:f>'Dashboard'!$D$15:$D$20</c:f>
              <c:strCache>
                <c:ptCount val="0"/>
              </c:strCache>
            </c:strRef>
          </c:cat>
          <c:val>
            <c:numRef>
              <c:f>'Dashboard'!$E$15:$E$20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Leads by solution interest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Contacts</c:v>
          </c:tx>
          <c:cat>
            <c:strRef>
              <c:f>'Dashboard'!$G$15:$G$18</c:f>
              <c:strCache>
                <c:ptCount val="0"/>
              </c:strCache>
            </c:strRef>
          </c:cat>
          <c:val>
            <c:numRef>
              <c:f>'Dashboard'!$H$15:$H$18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Opportunities by stage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Opportunities</c:v>
          </c:tx>
          <c:cat>
            <c:strRef>
              <c:f>'Dashboard'!$J$6:$J$11</c:f>
              <c:strCache>
                <c:ptCount val="0"/>
              </c:strCache>
            </c:strRef>
          </c:cat>
          <c:val>
            <c:numRef>
              <c:f>'Dashboard'!$K$6:$K$11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12</xdr:col>
      <xdr:colOff>0</xdr:colOff>
      <xdr:row>4</xdr:row>
      <xdr:rowOff>0</xdr:rowOff>
    </xdr:from>
    <xdr:ext cx="4191000" cy="2190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21e98957b4435b"/>
        </a:graphicData>
      </a:graphic>
    </xdr:graphicFrame>
    <xdr:clientData/>
  </xdr:oneCellAnchor>
  <xdr:oneCellAnchor>
    <xdr:from>
      <xdr:col>12</xdr:col>
      <xdr:colOff>0</xdr:colOff>
      <xdr:row>19</xdr:row>
      <xdr:rowOff>0</xdr:rowOff>
    </xdr:from>
    <xdr:ext cx="4191000" cy="2190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09ca82faa44573"/>
        </a:graphicData>
      </a:graphic>
    </xdr:graphicFrame>
    <xdr:clientData/>
  </xdr:oneCellAnchor>
  <xdr:oneCellAnchor>
    <xdr:from>
      <xdr:col>20</xdr:col>
      <xdr:colOff>0</xdr:colOff>
      <xdr:row>4</xdr:row>
      <xdr:rowOff>0</xdr:rowOff>
    </xdr:from>
    <xdr:ext cx="4191000" cy="21907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a0ffde43c548d5"/>
        </a:graphicData>
      </a:graphic>
    </xdr:graphicFrame>
    <xdr:clientData/>
  </xdr:oneCellAnchor>
  <xdr:oneCellAnchor>
    <xdr:from>
      <xdr:col>20</xdr:col>
      <xdr:colOff>0</xdr:colOff>
      <xdr:row>19</xdr:row>
      <xdr:rowOff>0</xdr:rowOff>
    </xdr:from>
    <xdr:ext cx="4191000" cy="21907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d0bd1256a44bc1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AccountsTable" displayName="AccountsTable" ref="A5:P30" headerRowCount="1" totalsRowCount="0" totalsRowShown="0">
  <x:tableColumns count="16">
    <x:tableColumn id="1" name="Account ID"/>
    <x:tableColumn id="2" name="Company name"/>
    <x:tableColumn id="3" name="Sector"/>
    <x:tableColumn id="4" name="Sub-sector"/>
    <x:tableColumn id="5" name="Headquarters"/>
    <x:tableColumn id="6" name="Priority markets"/>
    <x:tableColumn id="7" name="Company size / revenue band"/>
    <x:tableColumn id="8" name="Relevant therapeutic/device focus"/>
    <x:tableColumn id="9" name="Existing Qure.ai relevance / use case"/>
    <x:tableColumn id="10" name="Strategic tier"/>
    <x:tableColumn id="11" name="Account owner"/>
    <x:tableColumn id="12" name="Relationship status"/>
    <x:tableColumn id="13" name="Account-level opportunity hypothesis"/>
    <x:tableColumn id="14" name="Source URL"/>
    <x:tableColumn id="15" name="Research date"/>
    <x:tableColumn id="16" name="Coverage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actsTable" displayName="ContactsTable" ref="A5:S107" headerRowCount="1" totalsRowCount="0" totalsRowShown="0">
  <x:tableColumns count="19">
    <x:tableColumn id="1" name="Contact ID"/>
    <x:tableColumn id="2" name="Account ID"/>
    <x:tableColumn id="3" name="Full name"/>
    <x:tableColumn id="4" name="Current job title"/>
    <x:tableColumn id="5" name="Function"/>
    <x:tableColumn id="6" name="Seniority"/>
    <x:tableColumn id="7" name="Geography"/>
    <x:tableColumn id="8" name="Verified public profile URL"/>
    <x:tableColumn id="9" name="Public work email"/>
    <x:tableColumn id="10" name="Relevance score (1–5)"/>
    <x:tableColumn id="11" name="Buying influence"/>
    <x:tableColumn id="12" name="Likely Qure.ai use case"/>
    <x:tableColumn id="13" name="Personalisation / research notes"/>
    <x:tableColumn id="14" name="Source URL"/>
    <x:tableColumn id="15" name="Source type"/>
    <x:tableColumn id="16" name="Verification status"/>
    <x:tableColumn id="17" name="Last verified date"/>
    <x:tableColumn id="18" name="Lead score"/>
    <x:tableColumn id="19" name="Account sec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portunitiesTable" displayName="OpportunitiesTable" ref="A5:O30" headerRowCount="1" totalsRowCount="0" totalsRowShown="0">
  <x:tableColumns count="15">
    <x:tableColumn id="1" name="Opportunity ID"/>
    <x:tableColumn id="2" name="Account ID"/>
    <x:tableColumn id="3" name="Contact ID"/>
    <x:tableColumn id="4" name="Company"/>
    <x:tableColumn id="5" name="Primary contact"/>
    <x:tableColumn id="6" name="Use case"/>
    <x:tableColumn id="7" name="Estimated value band"/>
    <x:tableColumn id="8" name="Stage"/>
    <x:tableColumn id="9" name="Probability"/>
    <x:tableColumn id="10" name="Expected close date"/>
    <x:tableColumn id="11" name="Competition / alternatives"/>
    <x:tableColumn id="12" name="Key stakeholder map"/>
    <x:tableColumn id="13" name="Next best action"/>
    <x:tableColumn id="14" name="Risks and dependencies"/>
    <x:tableColumn id="15" name="Activity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itiesTable" displayName="ActivitiesTable" ref="A5:K35" headerRowCount="1" totalsRowCount="0" totalsRowShown="0">
  <x:tableColumns count="11">
    <x:tableColumn id="1" name="Date"/>
    <x:tableColumn id="2" name="Activity type"/>
    <x:tableColumn id="3" name="Owner"/>
    <x:tableColumn id="4" name="Target contact ID"/>
    <x:tableColumn id="5" name="Target contact"/>
    <x:tableColumn id="6" name="Outcome"/>
    <x:tableColumn id="7" name="Next action"/>
    <x:tableColumn id="8" name="Next-action date"/>
    <x:tableColumn id="9" name="Follow-up status"/>
    <x:tableColumn id="10" name="Meeting notes / context"/>
    <x:tableColumn id="11" name="Automated fl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5:G132" headerRowCount="1" totalsRowCount="0" totalsRowShown="0">
  <x:tableColumns count="7">
    <x:tableColumn id="1" name="Source URL"/>
    <x:tableColumn id="2" name="Source type"/>
    <x:tableColumn id="3" name="Linked account ID"/>
    <x:tableColumn id="4" name="Linked contact ID"/>
    <x:tableColumn id="5" name="Extracted information"/>
    <x:tableColumn id="6" name="Date accessed"/>
    <x:tableColumn id="7" name="Verification / 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7a5daf794045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b2c5fbb7c446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b59e66913e4a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cb1c60287d49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e72fc8a1a346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badda3e97a4e3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4" hidden="0" customWidth="1"/>
    <x:col min="4" max="4" width="23" hidden="0" customWidth="1"/>
    <x:col min="5" max="5" width="14" hidden="0" customWidth="1"/>
    <x:col min="6" max="6" width="4" hidden="0" customWidth="1"/>
    <x:col min="7" max="7" width="34" hidden="0" customWidth="1"/>
    <x:col min="8" max="8" width="15" hidden="0" customWidth="1"/>
    <x:col min="9" max="9" width="4" hidden="0" customWidth="1"/>
    <x:col min="10" max="10" width="20" hidden="0" customWidth="1"/>
    <x:col min="11" max="11" width="14" hidden="0" customWidth="1"/>
    <x:col min="12" max="12" width="4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" t="str">
        <x:v>Qure.ai Life Sciences BD CRM</x:v>
      </x:c>
    </x:row>
    <x:row r="2">
      <x:c r="A2" s="2" t="str">
        <x:v>India-only research snapshot as of 30 Sep 2026. Verify direct contact routes and unverified roles before outreach.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D4" s="22" t="str">
        <x:v>Leads by sector</x:v>
      </x:c>
      <x:c r="G4" s="22" t="str">
        <x:v>Leads by geography</x:v>
      </x:c>
      <x:c r="J4" s="22" t="str">
        <x:v>Pipeline stage</x:v>
      </x:c>
    </x:row>
    <x:row r="5">
      <x:c r="A5" s="13" t="str">
        <x:v>KPI</x:v>
      </x:c>
      <x:c r="B5" s="13" t="str">
        <x:v>Value</x:v>
      </x:c>
      <x:c r="D5" s="9" t="str">
        <x:v>Sector</x:v>
      </x:c>
      <x:c r="E5" s="9" t="str">
        <x:v>Contacts</x:v>
      </x:c>
      <x:c r="G5" s="9" t="str">
        <x:v>Geography</x:v>
      </x:c>
      <x:c r="H5" s="9" t="str">
        <x:v>Contacts</x:v>
      </x:c>
      <x:c r="J5" s="9" t="str">
        <x:v>Stage</x:v>
      </x:c>
      <x:c r="K5" s="9" t="str">
        <x:v>Opportunities</x:v>
      </x:c>
    </x:row>
    <x:row r="6">
      <x:c r="A6" s="14" t="str">
        <x:v>Total accounts</x:v>
      </x:c>
      <x:c r="B6" s="20" t="n">
        <x:f>COUNTA(Accounts!$A$6:$A$30)</x:f>
        <x:v>25</x:v>
      </x:c>
      <x:c r="D6" t="str">
        <x:v>Pharma</x:v>
      </x:c>
      <x:c r="E6" t="n">
        <x:f>COUNTIF(Contacts!$S$6:$S$110,D6)</x:f>
        <x:v>88</x:v>
      </x:c>
      <x:c r="G6" t="str">
        <x:v>Global</x:v>
      </x:c>
      <x:c r="H6" t="n">
        <x:f>COUNTIF(Contacts!$G$6:$G$110,G6)</x:f>
        <x:v>0</x:v>
      </x:c>
      <x:c r="J6" t="str">
        <x:v>Research</x:v>
      </x:c>
      <x:c r="K6" t="n">
        <x:f>COUNTIF(Opportunities!$H$6:$H$30,J6)</x:f>
        <x:v>25</x:v>
      </x:c>
    </x:row>
    <x:row r="7">
      <x:c r="A7" s="14" t="str">
        <x:v>Total contacts</x:v>
      </x:c>
      <x:c r="B7" s="20" t="n">
        <x:f>COUNTA(Contacts!$A$6:$A$110)</x:f>
        <x:v>100</x:v>
      </x:c>
      <x:c r="D7" t="str">
        <x:v>Biotech</x:v>
      </x:c>
      <x:c r="E7" t="n">
        <x:f>COUNTIF(Contacts!$S$6:$S$110,D7)</x:f>
        <x:v>12</x:v>
      </x:c>
      <x:c r="G7" t="str">
        <x:v>India</x:v>
      </x:c>
      <x:c r="H7" t="n">
        <x:f>COUNTIF(Contacts!$G$6:$G$110,G7)</x:f>
        <x:v>100</x:v>
      </x:c>
      <x:c r="J7" t="str">
        <x:v>Qualified</x:v>
      </x:c>
      <x:c r="K7" t="n">
        <x:f>COUNTIF(Opportunities!$H$6:$H$30,J7)</x:f>
        <x:v>0</x:v>
      </x:c>
    </x:row>
    <x:row r="8">
      <x:c r="A8" s="14" t="str">
        <x:v>High-priority leads (score ≥4.5)</x:v>
      </x:c>
      <x:c r="B8" s="20" t="n">
        <x:f>COUNTIF(Contacts!$R$6:$R$110,"&gt;=4.5")</x:f>
        <x:v>11</x:v>
      </x:c>
      <x:c r="D8" t="str">
        <x:v>Diagnostics</x:v>
      </x:c>
      <x:c r="E8" t="n">
        <x:f>COUNTIF(Contacts!$S$6:$S$110,D8)</x:f>
        <x:v>0</x:v>
      </x:c>
      <x:c r="G8" t="str">
        <x:v>Unverified</x:v>
      </x:c>
      <x:c r="H8" t="n">
        <x:f>COUNTIF(Contacts!$G$6:$G$110,G8)</x:f>
        <x:v>0</x:v>
      </x:c>
      <x:c r="J8" t="str">
        <x:v>Discovery</x:v>
      </x:c>
      <x:c r="K8" t="n">
        <x:f>COUNTIF(Opportunities!$H$6:$H$30,J8)</x:f>
        <x:v>0</x:v>
      </x:c>
    </x:row>
    <x:row r="9">
      <x:c r="A9" s="14" t="str">
        <x:v>Tier 1 accounts</x:v>
      </x:c>
      <x:c r="B9" s="20" t="n">
        <x:f>COUNTIF(Accounts!$J$6:$J$30,"Tier 1")</x:f>
        <x:v>15</x:v>
      </x:c>
      <x:c r="D9" t="str">
        <x:v>Imaging &amp; MedTech</x:v>
      </x:c>
      <x:c r="E9" t="n">
        <x:f>COUNTIF(Contacts!$S$6:$S$110,D9)</x:f>
        <x:v>0</x:v>
      </x:c>
      <x:c r="G9" t="str">
        <x:v>Other</x:v>
      </x:c>
      <x:c r="H9" t="n">
        <x:f>COUNTIF(Contacts!$G$6:$G$110,G9)</x:f>
        <x:v>0</x:v>
      </x:c>
      <x:c r="J9" t="str">
        <x:v>Proposal</x:v>
      </x:c>
      <x:c r="K9" t="n">
        <x:f>COUNTIF(Opportunities!$H$6:$H$30,J9)</x:f>
        <x:v>0</x:v>
      </x:c>
    </x:row>
    <x:row r="10">
      <x:c r="A10" s="14" t="str">
        <x:v>Accounts with coverage</x:v>
      </x:c>
      <x:c r="B10" s="20" t="n">
        <x:f>COUNTIF(Accounts!$P$6:$P$30,"&gt;0")</x:f>
        <x:v>12</x:v>
      </x:c>
      <x:c r="D10" t="str">
        <x:v>Digital Health</x:v>
      </x:c>
      <x:c r="E10" t="n">
        <x:f>COUNTIF(Contacts!$S$6:$S$110,D10)</x:f>
        <x:v>0</x:v>
      </x:c>
      <x:c r="J10" t="str">
        <x:v>Negotiation</x:v>
      </x:c>
      <x:c r="K10" t="n">
        <x:f>COUNTIF(Opportunities!$H$6:$H$30,J10)</x:f>
        <x:v>0</x:v>
      </x:c>
    </x:row>
    <x:row r="11">
      <x:c r="A11" s="14" t="str">
        <x:v>Overdue next steps</x:v>
      </x:c>
      <x:c r="B11" s="20" t="n">
        <x:f>COUNTIF('Outreach &amp; Activities'!$K$6:$K$35,"OVERDUE")</x:f>
        <x:v>0</x:v>
      </x:c>
      <x:c r="D11" t="str">
        <x:v>Clinical Research</x:v>
      </x:c>
      <x:c r="E11" t="n">
        <x:f>COUNTIF(Contacts!$S$6:$S$110,D11)</x:f>
        <x:v>0</x:v>
      </x:c>
      <x:c r="J11" t="str">
        <x:v>Closed Won</x:v>
      </x:c>
      <x:c r="K11" t="n">
        <x:f>COUNTIF(Opportunities!$H$6:$H$30,J11)</x:f>
        <x:v>0</x:v>
      </x:c>
    </x:row>
    <x:row r="12">
      <x:c r="A12" s="14" t="str">
        <x:v>Research freshness (&lt;90 days)</x:v>
      </x:c>
      <x:c r="B12" s="21" t="n">
        <x:f>COUNTIF('Research Sources'!$F$6:$F$132,"&gt;="&amp;DATE(2026,7,2))/COUNTA('Research Sources'!$A$6:$A$132)</x:f>
        <x:v>1</x:v>
      </x:c>
    </x:row>
    <x:row r="13">
      <x:c r="A13" s="14" t="str">
        <x:v>Verified contacts</x:v>
      </x:c>
      <x:c r="B13" s="20" t="n">
        <x:f>COUNTIF(Contacts!$P$6:$P$110,"Verified - official source")</x:f>
        <x:v>82</x:v>
      </x:c>
      <x:c r="D13" s="22" t="str">
        <x:v>Leads by seniority</x:v>
      </x:c>
      <x:c r="G13" s="22" t="str">
        <x:v>Leads by solution interest</x:v>
      </x:c>
    </x:row>
    <x:row r="14">
      <x:c r="D14" s="9" t="str">
        <x:v>Seniority</x:v>
      </x:c>
      <x:c r="E14" s="9" t="str">
        <x:v>Contacts</x:v>
      </x:c>
      <x:c r="G14" s="9" t="str">
        <x:v>Solution interest</x:v>
      </x:c>
      <x:c r="H14" s="9" t="str">
        <x:v>Contacts</x:v>
      </x:c>
    </x:row>
    <x:row r="15">
      <x:c r="D15" t="str">
        <x:v>C-suite</x:v>
      </x:c>
      <x:c r="E15" t="n">
        <x:f>COUNTIF(Contacts!$F$6:$F$110,D15)</x:f>
        <x:v>40</x:v>
      </x:c>
      <x:c r="G15" t="str">
        <x:v>Clinical trials / imaging biomarkers</x:v>
      </x:c>
      <x:c r="H15" t="n">
        <x:f>COUNTIF(Contacts!$L$6:$L$110,G15)</x:f>
        <x:v>7</x:v>
      </x:c>
    </x:row>
    <x:row r="16">
      <x:c r="D16" t="str">
        <x:v>EVP/SVP</x:v>
      </x:c>
      <x:c r="E16" t="n">
        <x:f>COUNTIF(Contacts!$F$6:$F$110,D16)</x:f>
        <x:v>39</x:v>
      </x:c>
      <x:c r="G16" t="str">
        <x:v>Imaging AI integration</x:v>
      </x:c>
      <x:c r="H16" t="n">
        <x:f>COUNTIF(Contacts!$L$6:$L$110,G16)</x:f>
        <x:v>0</x:v>
      </x:c>
    </x:row>
    <x:row r="17">
      <x:c r="D17" t="str">
        <x:v>VP</x:v>
      </x:c>
      <x:c r="E17" t="n">
        <x:f>COUNTIF(Contacts!$F$6:$F$110,D17)</x:f>
        <x:v>0</x:v>
      </x:c>
      <x:c r="G17" t="str">
        <x:v>Digital health / AI platform</x:v>
      </x:c>
      <x:c r="H17" t="n">
        <x:f>COUNTIF(Contacts!$L$6:$L$110,G17)</x:f>
        <x:v>4</x:v>
      </x:c>
    </x:row>
    <x:row r="18">
      <x:c r="D18" t="str">
        <x:v>Director</x:v>
      </x:c>
      <x:c r="E18" t="n">
        <x:f>COUNTIF(Contacts!$F$6:$F$110,D18)</x:f>
        <x:v>21</x:v>
      </x:c>
      <x:c r="G18" t="str">
        <x:v>RWE / commercial evidence</x:v>
      </x:c>
      <x:c r="H18" t="n">
        <x:f>COUNTIF(Contacts!$L$6:$L$110,G18)</x:f>
        <x:v>89</x:v>
      </x:c>
    </x:row>
    <x:row r="19">
      <x:c r="D19" t="str">
        <x:v>Global Head</x:v>
      </x:c>
      <x:c r="E19" t="n">
        <x:f>COUNTIF(Contacts!$F$6:$F$110,D19)</x:f>
        <x:v>0</x:v>
      </x:c>
    </x:row>
    <x:row r="20">
      <x:c r="D20" t="str">
        <x:v>Business Unit Head</x:v>
      </x:c>
      <x:c r="E20" t="n">
        <x:f>COUNTIF(Contacts!$F$6:$F$110,D20)</x:f>
        <x:v>0</x:v>
      </x:c>
    </x:row>
  </x:sheetData>
  <x:conditionalFormatting sqref="B11:B11">
    <x:cfRule type="cellIs" dxfId="3" priority="1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87a5daf79404525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6" hidden="0" customWidth="1"/>
    <x:col min="4" max="4" width="21" hidden="0" customWidth="1"/>
    <x:col min="5" max="5" width="20" hidden="0" customWidth="1"/>
    <x:col min="6" max="6" width="22" hidden="0" customWidth="1"/>
    <x:col min="7" max="7" width="21" hidden="0" customWidth="1"/>
    <x:col min="8" max="8" width="28" hidden="0" customWidth="1"/>
    <x:col min="9" max="9" width="31" hidden="0" customWidth="1"/>
    <x:col min="10" max="10" width="14" hidden="0" customWidth="1"/>
    <x:col min="11" max="11" width="23" hidden="0" customWidth="1"/>
    <x:col min="12" max="12" width="17" hidden="0" customWidth="1"/>
    <x:col min="13" max="13" width="42" hidden="0" customWidth="1"/>
    <x:col min="14" max="14" width="46" hidden="0" customWidth="1"/>
    <x:col min="15" max="15" width="14" hidden="0" customWidth="1"/>
    <x:col min="16" max="16" width="14" hidden="0" customWidth="1"/>
  </x:cols>
  <x:sheetData>
    <x:row r="1">
      <x:c r="A1" s="34" t="str">
        <x:v>Accounts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6" t="str">
        <x:v>Priority Life Sciences / MedTech account universe. As of 30 Sep 2026.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1" t="str">
        <x:v>Account ID</x:v>
      </x:c>
      <x:c r="B5" s="31" t="str">
        <x:v>Company name</x:v>
      </x:c>
      <x:c r="C5" s="31" t="str">
        <x:v>Sector</x:v>
      </x:c>
      <x:c r="D5" s="31" t="str">
        <x:v>Sub-sector</x:v>
      </x:c>
      <x:c r="E5" s="31" t="str">
        <x:v>Headquarters</x:v>
      </x:c>
      <x:c r="F5" s="31" t="str">
        <x:v>Priority markets</x:v>
      </x:c>
      <x:c r="G5" s="31" t="str">
        <x:v>Company size / revenue band</x:v>
      </x:c>
      <x:c r="H5" s="31" t="str">
        <x:v>Relevant therapeutic/device focus</x:v>
      </x:c>
      <x:c r="I5" s="31" t="str">
        <x:v>Existing Qure.ai relevance / use case</x:v>
      </x:c>
      <x:c r="J5" s="31" t="str">
        <x:v>Strategic tier</x:v>
      </x:c>
      <x:c r="K5" s="31" t="str">
        <x:v>Account owner</x:v>
      </x:c>
      <x:c r="L5" s="31" t="str">
        <x:v>Relationship status</x:v>
      </x:c>
      <x:c r="M5" s="31" t="str">
        <x:v>Account-level opportunity hypothesis</x:v>
      </x:c>
      <x:c r="N5" s="31" t="str">
        <x:v>Source URL</x:v>
      </x:c>
      <x:c r="O5" s="31" t="str">
        <x:v>Research date</x:v>
      </x:c>
      <x:c r="P5" s="31" t="str">
        <x:v>Coverage score</x:v>
      </x:c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5" t="str">
        <x:v>ACC-001</x:v>
      </x:c>
      <x:c r="B6" s="35" t="str">
        <x:v>Sun Pharmaceutical Industries</x:v>
      </x:c>
      <x:c r="C6" s="35" t="str">
        <x:v>Pharma</x:v>
      </x:c>
      <x:c r="D6" s="35" t="str">
        <x:v>India Pharma</x:v>
      </x:c>
      <x:c r="E6" s="35" t="str">
        <x:v>Mumbai, India</x:v>
      </x:c>
      <x:c r="F6" s="35" t="str">
        <x:v>India; Emerging Markets</x:v>
      </x:c>
      <x:c r="G6" s="35" t="str">
        <x:v>Large / listed India</x:v>
      </x:c>
      <x:c r="H6" s="35" t="str">
        <x:v>Specialty, chronic care, generics</x:v>
      </x:c>
      <x:c r="I6" s="35" t="str">
        <x:v>Clinical evidence; imaging biomarkers</x:v>
      </x:c>
      <x:c r="J6" s="35" t="str">
        <x:v>Tier 1</x:v>
      </x:c>
      <x:c r="K6" s="35" t="str">
        <x:v>Life Sciences BD - India</x:v>
      </x:c>
      <x:c r="L6" s="35" t="str">
        <x:v>Prospect</x:v>
      </x:c>
      <x:c r="M6" s="35" t="str">
        <x:v>India commercial scale and specialty portfolio justify evidence-generation outreach.</x:v>
      </x:c>
      <x:c r="N6" s="35" t="str">
        <x:v>https://sunpharma.com/board-of-directors/</x:v>
      </x:c>
      <x:c r="O6" s="38" t="n">
        <x:v>46295</x:v>
      </x:c>
      <x:c r="P6" s="39" t="n">
        <x:f>COUNTIF(Contacts!$B$6:$B$110,A6)/4</x:f>
        <x:v>3.75</x:v>
      </x:c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5" t="str">
        <x:v>ACC-002</x:v>
      </x:c>
      <x:c r="B7" s="35" t="str">
        <x:v>Dr. Reddy’s Laboratories</x:v>
      </x:c>
      <x:c r="C7" s="35" t="str">
        <x:v>Pharma</x:v>
      </x:c>
      <x:c r="D7" s="35" t="str">
        <x:v>India Pharma &amp; Services</x:v>
      </x:c>
      <x:c r="E7" s="35" t="str">
        <x:v>Hyderabad, India</x:v>
      </x:c>
      <x:c r="F7" s="35" t="str">
        <x:v>India; US; EU; Emerging Markets</x:v>
      </x:c>
      <x:c r="G7" s="35" t="str">
        <x:v>Large / listed India</x:v>
      </x:c>
      <x:c r="H7" s="35" t="str">
        <x:v>Generics, biosimilars, API, services</x:v>
      </x:c>
      <x:c r="I7" s="35" t="str">
        <x:v>Clinical trials; RWE; digital health</x:v>
      </x:c>
      <x:c r="J7" s="35" t="str">
        <x:v>Tier 1</x:v>
      </x:c>
      <x:c r="K7" s="35" t="str">
        <x:v>Life Sciences BD - India</x:v>
      </x:c>
      <x:c r="L7" s="35" t="str">
        <x:v>Prospect</x:v>
      </x:c>
      <x:c r="M7" s="35" t="str">
        <x:v>India and emerging-market portfolio provides clinical-development and evidence opportunities.</x:v>
      </x:c>
      <x:c r="N7" s="35" t="str">
        <x:v>https://api.drreddys.com/pt-pt/events/cphi-india-2025</x:v>
      </x:c>
      <x:c r="O7" s="38" t="n">
        <x:v>46295</x:v>
      </x:c>
      <x:c r="P7" s="39" t="n">
        <x:f>COUNTIF(Contacts!$B$6:$B$110,A7)/4</x:f>
        <x:v>2.5</x:v>
      </x:c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 t="str">
        <x:v>ACC-003</x:v>
      </x:c>
      <x:c r="B8" s="35" t="str">
        <x:v>Cipla</x:v>
      </x:c>
      <x:c r="C8" s="35" t="str">
        <x:v>Pharma</x:v>
      </x:c>
      <x:c r="D8" s="35" t="str">
        <x:v>India Pharma</x:v>
      </x:c>
      <x:c r="E8" s="35" t="str">
        <x:v>Mumbai, India</x:v>
      </x:c>
      <x:c r="F8" s="35" t="str">
        <x:v>India; South Africa; Emerging Markets</x:v>
      </x:c>
      <x:c r="G8" s="35" t="str">
        <x:v>Large / listed India</x:v>
      </x:c>
      <x:c r="H8" s="35" t="str">
        <x:v>Respiratory, HIV, chronic therapies</x:v>
      </x:c>
      <x:c r="I8" s="35" t="str">
        <x:v>Digital health; RWE; access evidence</x:v>
      </x:c>
      <x:c r="J8" s="35" t="str">
        <x:v>Tier 1</x:v>
      </x:c>
      <x:c r="K8" s="35" t="str">
        <x:v>Life Sciences BD - India</x:v>
      </x:c>
      <x:c r="L8" s="35" t="str">
        <x:v>Prospect</x:v>
      </x:c>
      <x:c r="M8" s="35" t="str">
        <x:v>Digital-health and India leadership make Cipla a priority evidence partner.</x:v>
      </x:c>
      <x:c r="N8" s="35" t="str">
        <x:v>https://www.cipla.com/node/713474</x:v>
      </x:c>
      <x:c r="O8" s="38" t="n">
        <x:v>46295</x:v>
      </x:c>
      <x:c r="P8" s="39" t="n">
        <x:f>COUNTIF(Contacts!$B$6:$B$110,A8)/4</x:f>
        <x:v>1.25</x:v>
      </x:c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 t="str">
        <x:v>ACC-004</x:v>
      </x:c>
      <x:c r="B9" s="35" t="str">
        <x:v>Biocon</x:v>
      </x:c>
      <x:c r="C9" s="35" t="str">
        <x:v>Biotech</x:v>
      </x:c>
      <x:c r="D9" s="35" t="str">
        <x:v>Biosimilars &amp; Biologics</x:v>
      </x:c>
      <x:c r="E9" s="35" t="str">
        <x:v>Bengaluru, India</x:v>
      </x:c>
      <x:c r="F9" s="35" t="str">
        <x:v>India; US; EU; Emerging Markets</x:v>
      </x:c>
      <x:c r="G9" s="35" t="str">
        <x:v>Large / listed India</x:v>
      </x:c>
      <x:c r="H9" s="35" t="str">
        <x:v>Biosimilars, peptides, APIs</x:v>
      </x:c>
      <x:c r="I9" s="35" t="str">
        <x:v>Clinical development; medical affairs</x:v>
      </x:c>
      <x:c r="J9" s="35" t="str">
        <x:v>Tier 1</x:v>
      </x:c>
      <x:c r="K9" s="35" t="str">
        <x:v>Life Sciences BD - India</x:v>
      </x:c>
      <x:c r="L9" s="35" t="str">
        <x:v>Prospect</x:v>
      </x:c>
      <x:c r="M9" s="35" t="str">
        <x:v>Biosimilar development and global commercialization create imaging/RWE hypotheses.</x:v>
      </x:c>
      <x:c r="N9" s="35" t="str">
        <x:v>https://www.biocon.com/about-us/executive-committee/</x:v>
      </x:c>
      <x:c r="O9" s="38" t="n">
        <x:v>46295</x:v>
      </x:c>
      <x:c r="P9" s="39" t="n">
        <x:f>COUNTIF(Contacts!$B$6:$B$110,A9)/4</x:f>
        <x:v>3</x:v>
      </x:c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 t="str">
        <x:v>ACC-005</x:v>
      </x:c>
      <x:c r="B10" s="35" t="str">
        <x:v>Lupin</x:v>
      </x:c>
      <x:c r="C10" s="35" t="str">
        <x:v>Pharma</x:v>
      </x:c>
      <x:c r="D10" s="35" t="str">
        <x:v>India Pharma</x:v>
      </x:c>
      <x:c r="E10" s="35" t="str">
        <x:v>Mumbai, India</x:v>
      </x:c>
      <x:c r="F10" s="35" t="str">
        <x:v>India; US; EU; Emerging Markets</x:v>
      </x:c>
      <x:c r="G10" s="35" t="str">
        <x:v>Large / listed India</x:v>
      </x:c>
      <x:c r="H10" s="35" t="str">
        <x:v>Chronic care, respiratory, TB, biologics</x:v>
      </x:c>
      <x:c r="I10" s="35" t="str">
        <x:v>Clinical development; digital health</x:v>
      </x:c>
      <x:c r="J10" s="35" t="str">
        <x:v>Tier 1</x:v>
      </x:c>
      <x:c r="K10" s="35" t="str">
        <x:v>Life Sciences BD - India</x:v>
      </x:c>
      <x:c r="L10" s="35" t="str">
        <x:v>Prospect</x:v>
      </x:c>
      <x:c r="M10" s="35" t="str">
        <x:v>India formulations and innovation teams are high-priority targets.</x:v>
      </x:c>
      <x:c r="N10" s="35" t="str">
        <x:v>https://lupin.com/about-us/leadership</x:v>
      </x:c>
      <x:c r="O10" s="38" t="n">
        <x:v>46295</x:v>
      </x:c>
      <x:c r="P10" s="39" t="n">
        <x:f>COUNTIF(Contacts!$B$6:$B$110,A10)/4</x:f>
        <x:v>4</x:v>
      </x:c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 t="str">
        <x:v>ACC-006</x:v>
      </x:c>
      <x:c r="B11" s="35" t="str">
        <x:v>Aurobindo Pharma</x:v>
      </x:c>
      <x:c r="C11" s="35" t="str">
        <x:v>Pharma</x:v>
      </x:c>
      <x:c r="D11" s="35" t="str">
        <x:v>India Pharma</x:v>
      </x:c>
      <x:c r="E11" s="35" t="str">
        <x:v>Hyderabad, India</x:v>
      </x:c>
      <x:c r="F11" s="35" t="str">
        <x:v>India; US; EU; Emerging Markets</x:v>
      </x:c>
      <x:c r="G11" s="35" t="str">
        <x:v>Large / listed India</x:v>
      </x:c>
      <x:c r="H11" s="35" t="str">
        <x:v>Generics, biologics, vaccines, peptides</x:v>
      </x:c>
      <x:c r="I11" s="35" t="str">
        <x:v>Clinical development; MedTech integration</x:v>
      </x:c>
      <x:c r="J11" s="35" t="str">
        <x:v>Tier 1</x:v>
      </x:c>
      <x:c r="K11" s="35" t="str">
        <x:v>Life Sciences BD - India</x:v>
      </x:c>
      <x:c r="L11" s="35" t="str">
        <x:v>Prospect</x:v>
      </x:c>
      <x:c r="M11" s="35" t="str">
        <x:v>Biologics and vaccine leadership are relevant to trial-imaging partnerships.</x:v>
      </x:c>
      <x:c r="N11" s="35" t="str">
        <x:v>https://www.aurobindo.com/about-us/management/board-of-directors</x:v>
      </x:c>
      <x:c r="O11" s="38" t="n">
        <x:v>46295</x:v>
      </x:c>
      <x:c r="P11" s="39" t="n">
        <x:f>COUNTIF(Contacts!$B$6:$B$110,A11)/4</x:f>
        <x:v>2.25</x:v>
      </x:c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 t="str">
        <x:v>ACC-007</x:v>
      </x:c>
      <x:c r="B12" s="35" t="str">
        <x:v>Alembic Pharmaceuticals</x:v>
      </x:c>
      <x:c r="C12" s="35" t="str">
        <x:v>Pharma</x:v>
      </x:c>
      <x:c r="D12" s="35" t="str">
        <x:v>India Pharma</x:v>
      </x:c>
      <x:c r="E12" s="35" t="str">
        <x:v>Vadodara, India</x:v>
      </x:c>
      <x:c r="F12" s="35" t="str">
        <x:v>India; US; EU</x:v>
      </x:c>
      <x:c r="G12" s="35" t="str">
        <x:v>Large / listed India</x:v>
      </x:c>
      <x:c r="H12" s="35" t="str">
        <x:v>Formulations, API</x:v>
      </x:c>
      <x:c r="I12" s="35" t="str">
        <x:v>Clinical development; commercial evidence</x:v>
      </x:c>
      <x:c r="J12" s="35" t="str">
        <x:v>Tier 2</x:v>
      </x:c>
      <x:c r="K12" s="35" t="str">
        <x:v>Life Sciences BD - India</x:v>
      </x:c>
      <x:c r="L12" s="35" t="str">
        <x:v>Prospect</x:v>
      </x:c>
      <x:c r="M12" s="35" t="str">
        <x:v>India pharma account with public senior-management disclosures.</x:v>
      </x:c>
      <x:c r="N12" s="35" t="str">
        <x:v>https://alembicpharmaceuticals.com/shareholder-information</x:v>
      </x:c>
      <x:c r="O12" s="38" t="n">
        <x:v>46295</x:v>
      </x:c>
      <x:c r="P12" s="39" t="n">
        <x:f>COUNTIF(Contacts!$B$6:$B$110,A12)/4</x:f>
        <x:v>1.5</x:v>
      </x:c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 t="str">
        <x:v>ACC-008</x:v>
      </x:c>
      <x:c r="B13" s="35" t="str">
        <x:v>GSK India</x:v>
      </x:c>
      <x:c r="C13" s="35" t="str">
        <x:v>Pharma</x:v>
      </x:c>
      <x:c r="D13" s="35" t="str">
        <x:v>India Commercial &amp; Vaccines</x:v>
      </x:c>
      <x:c r="E13" s="35" t="str">
        <x:v>Mumbai, India</x:v>
      </x:c>
      <x:c r="F13" s="35" t="str">
        <x:v>India</x:v>
      </x:c>
      <x:c r="G13" s="35" t="str">
        <x:v>Large / listed India affiliate</x:v>
      </x:c>
      <x:c r="H13" s="35" t="str">
        <x:v>Vaccines, oncology, general medicines</x:v>
      </x:c>
      <x:c r="I13" s="35" t="str">
        <x:v>Medical affairs; RWE; India pilots</x:v>
      </x:c>
      <x:c r="J13" s="35" t="str">
        <x:v>Tier 1</x:v>
      </x:c>
      <x:c r="K13" s="35" t="str">
        <x:v>Life Sciences BD - India</x:v>
      </x:c>
      <x:c r="L13" s="35" t="str">
        <x:v>Prospect</x:v>
      </x:c>
      <x:c r="M13" s="35" t="str">
        <x:v>Medical and regulatory leadership can sponsor India evidence programs.</x:v>
      </x:c>
      <x:c r="N13" s="35" t="str">
        <x:v>https://india-pharma.gsk.com/en-in/company/board-of-directors-and-india-leadership-team/</x:v>
      </x:c>
      <x:c r="O13" s="38" t="n">
        <x:v>46295</x:v>
      </x:c>
      <x:c r="P13" s="39" t="n">
        <x:f>COUNTIF(Contacts!$B$6:$B$110,A13)/4</x:f>
        <x:v>3.5</x:v>
      </x:c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 t="str">
        <x:v>ACC-009</x:v>
      </x:c>
      <x:c r="B14" s="35" t="str">
        <x:v>Zydus Lifesciences</x:v>
      </x:c>
      <x:c r="C14" s="35" t="str">
        <x:v>Pharma</x:v>
      </x:c>
      <x:c r="D14" s="35" t="str">
        <x:v>India Pharma</x:v>
      </x:c>
      <x:c r="E14" s="35" t="str">
        <x:v>Ahmedabad, India</x:v>
      </x:c>
      <x:c r="F14" s="35" t="str">
        <x:v>India; US; EU; Emerging Markets</x:v>
      </x:c>
      <x:c r="G14" s="35" t="str">
        <x:v>Large / listed India</x:v>
      </x:c>
      <x:c r="H14" s="35" t="str">
        <x:v>Vaccines, biologics, formulations</x:v>
      </x:c>
      <x:c r="I14" s="35" t="str">
        <x:v>Clinical development; diagnostics</x:v>
      </x:c>
      <x:c r="J14" s="35" t="str">
        <x:v>Tier 1</x:v>
      </x:c>
      <x:c r="K14" s="35" t="str">
        <x:v>Life Sciences BD - India</x:v>
      </x:c>
      <x:c r="L14" s="35" t="str">
        <x:v>Prospect</x:v>
      </x:c>
      <x:c r="M14" s="35" t="str">
        <x:v>India innovation and vaccine platform is strategically relevant.</x:v>
      </x:c>
      <x:c r="N14" s="35" t="str">
        <x:v>https://www.zyduslife.com/investor/admin/uploads/14/2/2024-2025.pdf</x:v>
      </x:c>
      <x:c r="O14" s="38" t="n">
        <x:v>46295</x:v>
      </x:c>
      <x:c r="P14" s="39" t="n">
        <x:f>COUNTIF(Contacts!$B$6:$B$110,A14)/4</x:f>
        <x:v>1.25</x:v>
      </x:c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 t="str">
        <x:v>ACC-010</x:v>
      </x:c>
      <x:c r="B15" s="35" t="str">
        <x:v>Torrent Pharmaceuticals</x:v>
      </x:c>
      <x:c r="C15" s="35" t="str">
        <x:v>Pharma</x:v>
      </x:c>
      <x:c r="D15" s="35" t="str">
        <x:v>India Pharma</x:v>
      </x:c>
      <x:c r="E15" s="35" t="str">
        <x:v>Ahmedabad, India</x:v>
      </x:c>
      <x:c r="F15" s="35" t="str">
        <x:v>India; US; EU</x:v>
      </x:c>
      <x:c r="G15" s="35" t="str">
        <x:v>Large / listed India</x:v>
      </x:c>
      <x:c r="H15" s="35" t="str">
        <x:v>Cardiovascular, CNS, GI, diabetes</x:v>
      </x:c>
      <x:c r="I15" s="35" t="str">
        <x:v>RWE; commercial evidence</x:v>
      </x:c>
      <x:c r="J15" s="35" t="str">
        <x:v>Tier 2</x:v>
      </x:c>
      <x:c r="K15" s="35" t="str">
        <x:v>Life Sciences BD - India</x:v>
      </x:c>
      <x:c r="L15" s="35" t="str">
        <x:v>Prospect</x:v>
      </x:c>
      <x:c r="M15" s="35" t="str">
        <x:v>Chronic-therapy market leadership supports RWE and commercial-evidence hypothesis.</x:v>
      </x:c>
      <x:c r="N15" s="35" t="str">
        <x:v>https://www.torrentpharma.com/investors/corporate-governance/board-of-directors/</x:v>
      </x:c>
      <x:c r="O15" s="38" t="n">
        <x:v>46295</x:v>
      </x:c>
      <x:c r="P15" s="39" t="n">
        <x:f>COUNTIF(Contacts!$B$6:$B$110,A15)/4</x:f>
        <x:v>0.75</x:v>
      </x:c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 t="str">
        <x:v>ACC-011</x:v>
      </x:c>
      <x:c r="B16" s="35" t="str">
        <x:v>Mankind Pharma</x:v>
      </x:c>
      <x:c r="C16" s="35" t="str">
        <x:v>Pharma</x:v>
      </x:c>
      <x:c r="D16" s="35" t="str">
        <x:v>India Pharma</x:v>
      </x:c>
      <x:c r="E16" s="35" t="str">
        <x:v>New Delhi, India</x:v>
      </x:c>
      <x:c r="F16" s="35" t="str">
        <x:v>India; Emerging Markets</x:v>
      </x:c>
      <x:c r="G16" s="35" t="str">
        <x:v>Large / listed India</x:v>
      </x:c>
      <x:c r="H16" s="35" t="str">
        <x:v>Acute and chronic therapies, consumer health</x:v>
      </x:c>
      <x:c r="I16" s="35" t="str">
        <x:v>India evidence; commercial partnerships</x:v>
      </x:c>
      <x:c r="J16" s="35" t="str">
        <x:v>Tier 2</x:v>
      </x:c>
      <x:c r="K16" s="35" t="str">
        <x:v>Life Sciences BD - India</x:v>
      </x:c>
      <x:c r="L16" s="35" t="str">
        <x:v>Prospect</x:v>
      </x:c>
      <x:c r="M16" s="35" t="str">
        <x:v>Large India commercial platform; senior-contact roles require verification.</x:v>
      </x:c>
      <x:c r="N16" s="35" t="str">
        <x:v>https://www.mankindpharma.com/about-us/board-of-directors</x:v>
      </x:c>
      <x:c r="O16" s="38" t="n">
        <x:v>46295</x:v>
      </x:c>
      <x:c r="P16" s="39" t="n">
        <x:f>COUNTIF(Contacts!$B$6:$B$110,A16)/4</x:f>
        <x:v>0.75</x:v>
      </x:c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 t="str">
        <x:v>ACC-012</x:v>
      </x:c>
      <x:c r="B17" s="35" t="str">
        <x:v>Emcure Pharmaceuticals</x:v>
      </x:c>
      <x:c r="C17" s="35" t="str">
        <x:v>Pharma</x:v>
      </x:c>
      <x:c r="D17" s="35" t="str">
        <x:v>India Pharma</x:v>
      </x:c>
      <x:c r="E17" s="35" t="str">
        <x:v>Pune, India</x:v>
      </x:c>
      <x:c r="F17" s="35" t="str">
        <x:v>India; US; EU; Emerging Markets</x:v>
      </x:c>
      <x:c r="G17" s="35" t="str">
        <x:v>Large / listed India</x:v>
      </x:c>
      <x:c r="H17" s="35" t="str">
        <x:v>Oncology, gynecology, cardiovascular</x:v>
      </x:c>
      <x:c r="I17" s="35" t="str">
        <x:v>Clinical trials; medical affairs</x:v>
      </x:c>
      <x:c r="J17" s="35" t="str">
        <x:v>Tier 2</x:v>
      </x:c>
      <x:c r="K17" s="35" t="str">
        <x:v>Life Sciences BD - India</x:v>
      </x:c>
      <x:c r="L17" s="35" t="str">
        <x:v>Prospect</x:v>
      </x:c>
      <x:c r="M17" s="35" t="str">
        <x:v>India specialty portfolio supports clinical evidence exploration.</x:v>
      </x:c>
      <x:c r="N17" s="35" t="str">
        <x:v>https://www.emcure.com/about-us/leadership/</x:v>
      </x:c>
      <x:c r="O17" s="38" t="n">
        <x:v>46295</x:v>
      </x:c>
      <x:c r="P17" s="39" t="n">
        <x:f>COUNTIF(Contacts!$B$6:$B$110,A17)/4</x:f>
        <x:v>0.5</x:v>
      </x:c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 t="str">
        <x:v>ACC-013</x:v>
      </x:c>
      <x:c r="B18" s="35" t="str">
        <x:v>Glenmark Pharmaceuticals</x:v>
      </x:c>
      <x:c r="C18" s="35" t="str">
        <x:v>Pharma</x:v>
      </x:c>
      <x:c r="D18" s="35" t="str">
        <x:v>India Pharma</x:v>
      </x:c>
      <x:c r="E18" s="35" t="str">
        <x:v>Mumbai, India</x:v>
      </x:c>
      <x:c r="F18" s="35" t="str">
        <x:v>India; US; EU</x:v>
      </x:c>
      <x:c r="G18" s="35" t="str">
        <x:v>Large / listed India</x:v>
      </x:c>
      <x:c r="H18" s="35" t="str">
        <x:v>Respiratory, dermatology, oncology</x:v>
      </x:c>
      <x:c r="I18" s="35" t="str">
        <x:v>Clinical development; RWE</x:v>
      </x:c>
      <x:c r="J18" s="35" t="str">
        <x:v>Tier 2</x:v>
      </x:c>
      <x:c r="K18" s="35" t="str">
        <x:v>Life Sciences BD - India</x:v>
      </x:c>
      <x:c r="L18" s="35" t="str">
        <x:v>Prospect</x:v>
      </x:c>
      <x:c r="M18" s="35" t="str">
        <x:v>Priority India pharma account; leadership research queued.</x:v>
      </x:c>
      <x:c r="N18" s="35" t="str">
        <x:v>https://www.glenmarkpharma.com/about-us/leadership</x:v>
      </x:c>
      <x:c r="O18" s="38" t="n">
        <x:v>46295</x:v>
      </x:c>
      <x:c r="P18" s="39" t="n">
        <x:f>COUNTIF(Contacts!$B$6:$B$110,A18)/4</x:f>
        <x:v>0</x:v>
      </x:c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 t="str">
        <x:v>ACC-014</x:v>
      </x:c>
      <x:c r="B19" s="35" t="str">
        <x:v>Alkem Laboratories</x:v>
      </x:c>
      <x:c r="C19" s="35" t="str">
        <x:v>Pharma</x:v>
      </x:c>
      <x:c r="D19" s="35" t="str">
        <x:v>India Pharma</x:v>
      </x:c>
      <x:c r="E19" s="35" t="str">
        <x:v>Mumbai, India</x:v>
      </x:c>
      <x:c r="F19" s="35" t="str">
        <x:v>India; US; EU</x:v>
      </x:c>
      <x:c r="G19" s="35" t="str">
        <x:v>Large / listed India</x:v>
      </x:c>
      <x:c r="H19" s="35" t="str">
        <x:v>Anti-infectives, chronic therapies</x:v>
      </x:c>
      <x:c r="I19" s="35" t="str">
        <x:v>Commercial evidence; RWE</x:v>
      </x:c>
      <x:c r="J19" s="35" t="str">
        <x:v>Tier 2</x:v>
      </x:c>
      <x:c r="K19" s="35" t="str">
        <x:v>Life Sciences BD - India</x:v>
      </x:c>
      <x:c r="L19" s="35" t="str">
        <x:v>Prospect</x:v>
      </x:c>
      <x:c r="M19" s="35" t="str">
        <x:v>Priority India pharma account; leadership research queued.</x:v>
      </x:c>
      <x:c r="N19" s="35" t="str">
        <x:v>https://www.alkemlabs.com/about-us/board-of-directors/</x:v>
      </x:c>
      <x:c r="O19" s="38" t="n">
        <x:v>46295</x:v>
      </x:c>
      <x:c r="P19" s="39" t="n">
        <x:f>COUNTIF(Contacts!$B$6:$B$110,A19)/4</x:f>
        <x:v>0</x:v>
      </x:c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 t="str">
        <x:v>ACC-015</x:v>
      </x:c>
      <x:c r="B20" s="35" t="str">
        <x:v>Intas Pharmaceuticals</x:v>
      </x:c>
      <x:c r="C20" s="35" t="str">
        <x:v>Pharma</x:v>
      </x:c>
      <x:c r="D20" s="35" t="str">
        <x:v>Biopharma</x:v>
      </x:c>
      <x:c r="E20" s="35" t="str">
        <x:v>Ahmedabad, India</x:v>
      </x:c>
      <x:c r="F20" s="35" t="str">
        <x:v>India; EU; Emerging Markets</x:v>
      </x:c>
      <x:c r="G20" s="35" t="str">
        <x:v>Large / private India</x:v>
      </x:c>
      <x:c r="H20" s="35" t="str">
        <x:v>Biosimilars, oncology, plasma</x:v>
      </x:c>
      <x:c r="I20" s="35" t="str">
        <x:v>Clinical development; imaging biomarkers</x:v>
      </x:c>
      <x:c r="J20" s="35" t="str">
        <x:v>Tier 1</x:v>
      </x:c>
      <x:c r="K20" s="35" t="str">
        <x:v>Life Sciences BD - India</x:v>
      </x:c>
      <x:c r="L20" s="35" t="str">
        <x:v>Prospect</x:v>
      </x:c>
      <x:c r="M20" s="35" t="str">
        <x:v>Biosimilar and oncology portfolio makes Intas strategically relevant.</x:v>
      </x:c>
      <x:c r="N20" s="35" t="str">
        <x:v>https://www.intaspharma.com/about-us/leadership/</x:v>
      </x:c>
      <x:c r="O20" s="38" t="n">
        <x:v>46295</x:v>
      </x:c>
      <x:c r="P20" s="39" t="n">
        <x:f>COUNTIF(Contacts!$B$6:$B$110,A20)/4</x:f>
        <x:v>0</x:v>
      </x:c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 t="str">
        <x:v>ACC-016</x:v>
      </x:c>
      <x:c r="B21" s="35" t="str">
        <x:v>Serum Institute of India</x:v>
      </x:c>
      <x:c r="C21" s="35" t="str">
        <x:v>Biotech</x:v>
      </x:c>
      <x:c r="D21" s="35" t="str">
        <x:v>Vaccines</x:v>
      </x:c>
      <x:c r="E21" s="35" t="str">
        <x:v>Pune, India</x:v>
      </x:c>
      <x:c r="F21" s="35" t="str">
        <x:v>India; Global</x:v>
      </x:c>
      <x:c r="G21" s="35" t="str">
        <x:v>Large / private India</x:v>
      </x:c>
      <x:c r="H21" s="35" t="str">
        <x:v>Vaccines, biologics</x:v>
      </x:c>
      <x:c r="I21" s="35" t="str">
        <x:v>Clinical development; RWE</x:v>
      </x:c>
      <x:c r="J21" s="35" t="str">
        <x:v>Tier 1</x:v>
      </x:c>
      <x:c r="K21" s="35" t="str">
        <x:v>Life Sciences BD - India</x:v>
      </x:c>
      <x:c r="L21" s="35" t="str">
        <x:v>Prospect</x:v>
      </x:c>
      <x:c r="M21" s="35" t="str">
        <x:v>India vaccine leader; contact research queued.</x:v>
      </x:c>
      <x:c r="N21" s="35" t="str">
        <x:v>https://www.seruminstitute.com/</x:v>
      </x:c>
      <x:c r="O21" s="38" t="n">
        <x:v>46295</x:v>
      </x:c>
      <x:c r="P21" s="39" t="n">
        <x:f>COUNTIF(Contacts!$B$6:$B$110,A21)/4</x:f>
        <x:v>0</x:v>
      </x:c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 t="str">
        <x:v>ACC-017</x:v>
      </x:c>
      <x:c r="B22" s="35" t="str">
        <x:v>Bharat Biotech</x:v>
      </x:c>
      <x:c r="C22" s="35" t="str">
        <x:v>Biotech</x:v>
      </x:c>
      <x:c r="D22" s="35" t="str">
        <x:v>Vaccines &amp; Biologics</x:v>
      </x:c>
      <x:c r="E22" s="35" t="str">
        <x:v>Hyderabad, India</x:v>
      </x:c>
      <x:c r="F22" s="35" t="str">
        <x:v>India; Global</x:v>
      </x:c>
      <x:c r="G22" s="35" t="str">
        <x:v>Large / private India</x:v>
      </x:c>
      <x:c r="H22" s="35" t="str">
        <x:v>Vaccines, biologics</x:v>
      </x:c>
      <x:c r="I22" s="35" t="str">
        <x:v>Clinical development; imaging biomarkers</x:v>
      </x:c>
      <x:c r="J22" s="35" t="str">
        <x:v>Tier 1</x:v>
      </x:c>
      <x:c r="K22" s="35" t="str">
        <x:v>Life Sciences BD - India</x:v>
      </x:c>
      <x:c r="L22" s="35" t="str">
        <x:v>Prospect</x:v>
      </x:c>
      <x:c r="M22" s="35" t="str">
        <x:v>India vaccine and biologics platform; contact research queued.</x:v>
      </x:c>
      <x:c r="N22" s="35" t="str">
        <x:v>https://www.bharatbiotech.com/</x:v>
      </x:c>
      <x:c r="O22" s="38" t="n">
        <x:v>46295</x:v>
      </x:c>
      <x:c r="P22" s="39" t="n">
        <x:f>COUNTIF(Contacts!$B$6:$B$110,A22)/4</x:f>
        <x:v>0</x:v>
      </x:c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 t="str">
        <x:v>ACC-018</x:v>
      </x:c>
      <x:c r="B23" s="35" t="str">
        <x:v>Tata Medical and Diagnostics</x:v>
      </x:c>
      <x:c r="C23" s="35" t="str">
        <x:v>Diagnostics</x:v>
      </x:c>
      <x:c r="D23" s="35" t="str">
        <x:v>Diagnostics</x:v>
      </x:c>
      <x:c r="E23" s="35" t="str">
        <x:v>Mumbai, India</x:v>
      </x:c>
      <x:c r="F23" s="35" t="str">
        <x:v>India</x:v>
      </x:c>
      <x:c r="G23" s="35" t="str">
        <x:v>Growth / private India</x:v>
      </x:c>
      <x:c r="H23" s="35" t="str">
        <x:v>Molecular diagnostics, point-of-care</x:v>
      </x:c>
      <x:c r="I23" s="35" t="str">
        <x:v>Diagnostics AI; clinical workflow</x:v>
      </x:c>
      <x:c r="J23" s="35" t="str">
        <x:v>Tier 1</x:v>
      </x:c>
      <x:c r="K23" s="35" t="str">
        <x:v>Strategic Partnerships</x:v>
      </x:c>
      <x:c r="L23" s="35" t="str">
        <x:v>Prospect</x:v>
      </x:c>
      <x:c r="M23" s="35" t="str">
        <x:v>India diagnostics platform with potential AI workflow relevance.</x:v>
      </x:c>
      <x:c r="N23" s="35" t="str">
        <x:v>https://www.tatamd.com/</x:v>
      </x:c>
      <x:c r="O23" s="38" t="n">
        <x:v>46295</x:v>
      </x:c>
      <x:c r="P23" s="39" t="n">
        <x:f>COUNTIF(Contacts!$B$6:$B$110,A23)/4</x:f>
        <x:v>0</x:v>
      </x:c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 t="str">
        <x:v>ACC-019</x:v>
      </x:c>
      <x:c r="B24" s="35" t="str">
        <x:v>Trivitron Healthcare</x:v>
      </x:c>
      <x:c r="C24" s="35" t="str">
        <x:v>Diagnostics</x:v>
      </x:c>
      <x:c r="D24" s="35" t="str">
        <x:v>Diagnostics &amp; MedTech</x:v>
      </x:c>
      <x:c r="E24" s="35" t="str">
        <x:v>Chennai, India</x:v>
      </x:c>
      <x:c r="F24" s="35" t="str">
        <x:v>India; Emerging Markets</x:v>
      </x:c>
      <x:c r="G24" s="35" t="str">
        <x:v>Large / private India</x:v>
      </x:c>
      <x:c r="H24" s="35" t="str">
        <x:v>Diagnostics, imaging, devices</x:v>
      </x:c>
      <x:c r="I24" s="35" t="str">
        <x:v>AI imaging and diagnostics</x:v>
      </x:c>
      <x:c r="J24" s="35" t="str">
        <x:v>Tier 1</x:v>
      </x:c>
      <x:c r="K24" s="35" t="str">
        <x:v>Strategic Partnerships</x:v>
      </x:c>
      <x:c r="L24" s="35" t="str">
        <x:v>Prospect</x:v>
      </x:c>
      <x:c r="M24" s="35" t="str">
        <x:v>India MedTech and diagnostics distribution/integration hypothesis.</x:v>
      </x:c>
      <x:c r="N24" s="35" t="str">
        <x:v>https://www.trivitron.com/about-us/</x:v>
      </x:c>
      <x:c r="O24" s="38" t="n">
        <x:v>46295</x:v>
      </x:c>
      <x:c r="P24" s="39" t="n">
        <x:f>COUNTIF(Contacts!$B$6:$B$110,A24)/4</x:f>
        <x:v>0</x:v>
      </x:c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 t="str">
        <x:v>ACC-020</x:v>
      </x:c>
      <x:c r="B25" s="35" t="str">
        <x:v>Molbio Diagnostics</x:v>
      </x:c>
      <x:c r="C25" s="35" t="str">
        <x:v>Diagnostics</x:v>
      </x:c>
      <x:c r="D25" s="35" t="str">
        <x:v>Molecular Diagnostics</x:v>
      </x:c>
      <x:c r="E25" s="35" t="str">
        <x:v>Goa, India</x:v>
      </x:c>
      <x:c r="F25" s="35" t="str">
        <x:v>India; Emerging Markets</x:v>
      </x:c>
      <x:c r="G25" s="35" t="str">
        <x:v>Growth / private India</x:v>
      </x:c>
      <x:c r="H25" s="35" t="str">
        <x:v>Molecular diagnostics</x:v>
      </x:c>
      <x:c r="I25" s="35" t="str">
        <x:v>Diagnostics AI; clinical workflow</x:v>
      </x:c>
      <x:c r="J25" s="35" t="str">
        <x:v>Tier 2</x:v>
      </x:c>
      <x:c r="K25" s="35" t="str">
        <x:v>Strategic Partnerships</x:v>
      </x:c>
      <x:c r="L25" s="35" t="str">
        <x:v>Prospect</x:v>
      </x:c>
      <x:c r="M25" s="35" t="str">
        <x:v>Molecular-diagnostics platform; contact research queued.</x:v>
      </x:c>
      <x:c r="N25" s="35" t="str">
        <x:v>https://www.molbiodiagnostics.com/</x:v>
      </x:c>
      <x:c r="O25" s="38" t="n">
        <x:v>46295</x:v>
      </x:c>
      <x:c r="P25" s="39" t="n">
        <x:f>COUNTIF(Contacts!$B$6:$B$110,A25)/4</x:f>
        <x:v>0</x:v>
      </x:c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 t="str">
        <x:v>ACC-021</x:v>
      </x:c>
      <x:c r="B26" s="35" t="str">
        <x:v>HealthCare Global Enterprises</x:v>
      </x:c>
      <x:c r="C26" s="35" t="str">
        <x:v>Imaging &amp; MedTech</x:v>
      </x:c>
      <x:c r="D26" s="35" t="str">
        <x:v>Oncology Care</x:v>
      </x:c>
      <x:c r="E26" s="35" t="str">
        <x:v>Bengaluru, India</x:v>
      </x:c>
      <x:c r="F26" s="35" t="str">
        <x:v>India</x:v>
      </x:c>
      <x:c r="G26" s="35" t="str">
        <x:v>Large / listed India</x:v>
      </x:c>
      <x:c r="H26" s="35" t="str">
        <x:v>Oncology, diagnostics, radiology</x:v>
      </x:c>
      <x:c r="I26" s="35" t="str">
        <x:v>Imaging workflow; clinical research</x:v>
      </x:c>
      <x:c r="J26" s="35" t="str">
        <x:v>Tier 1</x:v>
      </x:c>
      <x:c r="K26" s="35" t="str">
        <x:v>Life Sciences BD - India</x:v>
      </x:c>
      <x:c r="L26" s="35" t="str">
        <x:v>Prospect</x:v>
      </x:c>
      <x:c r="M26" s="35" t="str">
        <x:v>Oncology provider could evaluate clinical imaging and workflow solutions.</x:v>
      </x:c>
      <x:c r="N26" s="35" t="str">
        <x:v>https://hcgoncology.com/about-us/leadership/</x:v>
      </x:c>
      <x:c r="O26" s="38" t="n">
        <x:v>46295</x:v>
      </x:c>
      <x:c r="P26" s="39" t="n">
        <x:f>COUNTIF(Contacts!$B$6:$B$110,A26)/4</x:f>
        <x:v>0</x:v>
      </x:c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 t="str">
        <x:v>ACC-022</x:v>
      </x:c>
      <x:c r="B27" s="35" t="str">
        <x:v>Apollo Hospitals Enterprise</x:v>
      </x:c>
      <x:c r="C27" s="35" t="str">
        <x:v>Imaging &amp; MedTech</x:v>
      </x:c>
      <x:c r="D27" s="35" t="str">
        <x:v>Provider Network</x:v>
      </x:c>
      <x:c r="E27" s="35" t="str">
        <x:v>Chennai, India</x:v>
      </x:c>
      <x:c r="F27" s="35" t="str">
        <x:v>India</x:v>
      </x:c>
      <x:c r="G27" s="35" t="str">
        <x:v>Large / listed India</x:v>
      </x:c>
      <x:c r="H27" s="35" t="str">
        <x:v>Hospitals, diagnostics, digital health</x:v>
      </x:c>
      <x:c r="I27" s="35" t="str">
        <x:v>Imaging AI; enterprise clinical workflow</x:v>
      </x:c>
      <x:c r="J27" s="35" t="str">
        <x:v>Tier 1</x:v>
      </x:c>
      <x:c r="K27" s="35" t="str">
        <x:v>Strategic Partnerships</x:v>
      </x:c>
      <x:c r="L27" s="35" t="str">
        <x:v>Prospect</x:v>
      </x:c>
      <x:c r="M27" s="35" t="str">
        <x:v>Provider-network partner for clinical AI workflow validation.</x:v>
      </x:c>
      <x:c r="N27" s="35" t="str">
        <x:v>https://www.apollohospitals.com/about-us/leadership/</x:v>
      </x:c>
      <x:c r="O27" s="38" t="n">
        <x:v>46295</x:v>
      </x:c>
      <x:c r="P27" s="39" t="n">
        <x:f>COUNTIF(Contacts!$B$6:$B$110,A27)/4</x:f>
        <x:v>0</x:v>
      </x:c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 t="str">
        <x:v>ACC-023</x:v>
      </x:c>
      <x:c r="B28" s="35" t="str">
        <x:v>Metropolis Healthcare</x:v>
      </x:c>
      <x:c r="C28" s="35" t="str">
        <x:v>Diagnostics</x:v>
      </x:c>
      <x:c r="D28" s="35" t="str">
        <x:v>Diagnostic Labs</x:v>
      </x:c>
      <x:c r="E28" s="35" t="str">
        <x:v>Mumbai, India</x:v>
      </x:c>
      <x:c r="F28" s="35" t="str">
        <x:v>India</x:v>
      </x:c>
      <x:c r="G28" s="35" t="str">
        <x:v>Large / listed India</x:v>
      </x:c>
      <x:c r="H28" s="35" t="str">
        <x:v>Pathology, diagnostics</x:v>
      </x:c>
      <x:c r="I28" s="35" t="str">
        <x:v>Diagnostics AI; commercial evidence</x:v>
      </x:c>
      <x:c r="J28" s="35" t="str">
        <x:v>Tier 2</x:v>
      </x:c>
      <x:c r="K28" s="35" t="str">
        <x:v>Strategic Partnerships</x:v>
      </x:c>
      <x:c r="L28" s="35" t="str">
        <x:v>Prospect</x:v>
      </x:c>
      <x:c r="M28" s="35" t="str">
        <x:v>Diagnostics-network opportunity; contact research queued.</x:v>
      </x:c>
      <x:c r="N28" s="35" t="str">
        <x:v>https://www.metropolisindia.com/about-us/leadership</x:v>
      </x:c>
      <x:c r="O28" s="38" t="n">
        <x:v>46295</x:v>
      </x:c>
      <x:c r="P28" s="39" t="n">
        <x:f>COUNTIF(Contacts!$B$6:$B$110,A28)/4</x:f>
        <x:v>0</x:v>
      </x:c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 t="str">
        <x:v>ACC-024</x:v>
      </x:c>
      <x:c r="B29" s="35" t="str">
        <x:v>Dr. Lal PathLabs</x:v>
      </x:c>
      <x:c r="C29" s="35" t="str">
        <x:v>Diagnostics</x:v>
      </x:c>
      <x:c r="D29" s="35" t="str">
        <x:v>Diagnostic Labs</x:v>
      </x:c>
      <x:c r="E29" s="35" t="str">
        <x:v>New Delhi, India</x:v>
      </x:c>
      <x:c r="F29" s="35" t="str">
        <x:v>India</x:v>
      </x:c>
      <x:c r="G29" s="35" t="str">
        <x:v>Large / listed India</x:v>
      </x:c>
      <x:c r="H29" s="35" t="str">
        <x:v>Pathology, diagnostics</x:v>
      </x:c>
      <x:c r="I29" s="35" t="str">
        <x:v>Diagnostics AI; workflow</x:v>
      </x:c>
      <x:c r="J29" s="35" t="str">
        <x:v>Tier 2</x:v>
      </x:c>
      <x:c r="K29" s="35" t="str">
        <x:v>Strategic Partnerships</x:v>
      </x:c>
      <x:c r="L29" s="35" t="str">
        <x:v>Prospect</x:v>
      </x:c>
      <x:c r="M29" s="35" t="str">
        <x:v>Diagnostics-network opportunity; contact research queued.</x:v>
      </x:c>
      <x:c r="N29" s="35" t="str">
        <x:v>https://www.lalpathlabs.com/about-us/leadership</x:v>
      </x:c>
      <x:c r="O29" s="38" t="n">
        <x:v>46295</x:v>
      </x:c>
      <x:c r="P29" s="39" t="n">
        <x:f>COUNTIF(Contacts!$B$6:$B$110,A29)/4</x:f>
        <x:v>0</x:v>
      </x:c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 t="str">
        <x:v>ACC-025</x:v>
      </x:c>
      <x:c r="B30" s="35" t="str">
        <x:v>Narayana Health</x:v>
      </x:c>
      <x:c r="C30" s="35" t="str">
        <x:v>Imaging &amp; MedTech</x:v>
      </x:c>
      <x:c r="D30" s="35" t="str">
        <x:v>Provider Network</x:v>
      </x:c>
      <x:c r="E30" s="35" t="str">
        <x:v>Bengaluru, India</x:v>
      </x:c>
      <x:c r="F30" s="35" t="str">
        <x:v>India</x:v>
      </x:c>
      <x:c r="G30" s="35" t="str">
        <x:v>Large / listed India</x:v>
      </x:c>
      <x:c r="H30" s="35" t="str">
        <x:v>Hospitals, oncology, cardiology</x:v>
      </x:c>
      <x:c r="I30" s="35" t="str">
        <x:v>Imaging AI; clinical workflow</x:v>
      </x:c>
      <x:c r="J30" s="35" t="str">
        <x:v>Tier 2</x:v>
      </x:c>
      <x:c r="K30" s="35" t="str">
        <x:v>Strategic Partnerships</x:v>
      </x:c>
      <x:c r="L30" s="35" t="str">
        <x:v>Prospect</x:v>
      </x:c>
      <x:c r="M30" s="35" t="str">
        <x:v>Provider-network opportunity; contact research queued.</x:v>
      </x:c>
      <x:c r="N30" s="35" t="str">
        <x:v>https://www.narayanahealth.org/about-us/leadership</x:v>
      </x:c>
      <x:c r="O30" s="38" t="n">
        <x:v>46295</x:v>
      </x:c>
      <x:c r="P30" s="39" t="n">
        <x:f>COUNTIF(Contacts!$B$6:$B$110,A30)/4</x:f>
        <x:v>0</x:v>
      </x:c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</x:sheetData>
  <x:dataValidations count="4">
    <x:dataValidation type="list" sqref="C6:C30">
      <x:formula1>Lists!$A$6:$A$11</x:formula1>
    </x:dataValidation>
    <x:dataValidation type="list" sqref="J6:J30">
      <x:formula1>Lists!$B$6:$B$8</x:formula1>
    </x:dataValidation>
    <x:dataValidation type="list" sqref="K6:K30">
      <x:formula1>Lists!$E$6:$E$10</x:formula1>
    </x:dataValidation>
    <x:dataValidation type="list" sqref="L6:L30">
      <x:formula1>Lists!$G$6:$G$10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b2c5fbb7c446ad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39" hidden="0" customWidth="1"/>
    <x:col min="5" max="5" width="24" hidden="0" customWidth="1"/>
    <x:col min="6" max="6" width="13" hidden="0" customWidth="1"/>
    <x:col min="7" max="7" width="12" hidden="0" customWidth="1"/>
    <x:col min="8" max="8" width="30" hidden="0" customWidth="1"/>
    <x:col min="9" max="9" width="27" hidden="0" customWidth="1"/>
    <x:col min="10" max="10" width="14" hidden="0" customWidth="1"/>
    <x:col min="11" max="11" width="20" hidden="0" customWidth="1"/>
    <x:col min="12" max="12" width="29" hidden="0" customWidth="1"/>
    <x:col min="13" max="13" width="45" hidden="0" customWidth="1"/>
    <x:col min="14" max="14" width="48" hidden="0" customWidth="1"/>
    <x:col min="15" max="15" width="26" hidden="0" customWidth="1"/>
    <x:col min="16" max="16" width="24" hidden="0" customWidth="1"/>
    <x:col min="17" max="17" width="15" hidden="0" customWidth="1"/>
    <x:col min="18" max="18" width="12" hidden="0" customWidth="1"/>
    <x:col min="19" max="19" width="20" hidden="0" customWidth="1"/>
  </x:cols>
  <x:sheetData>
    <x:row r="1">
      <x:c r="A1" s="34" t="str">
        <x:v>Contacts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6" t="str">
        <x:v>Public professional information only. No inferred personal emails, phones, or profile URLs.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1" t="str">
        <x:v>Contact ID</x:v>
      </x:c>
      <x:c r="B5" s="31" t="str">
        <x:v>Account ID</x:v>
      </x:c>
      <x:c r="C5" s="31" t="str">
        <x:v>Full name</x:v>
      </x:c>
      <x:c r="D5" s="31" t="str">
        <x:v>Current job title</x:v>
      </x:c>
      <x:c r="E5" s="31" t="str">
        <x:v>Function</x:v>
      </x:c>
      <x:c r="F5" s="31" t="str">
        <x:v>Seniority</x:v>
      </x:c>
      <x:c r="G5" s="31" t="str">
        <x:v>Geography</x:v>
      </x:c>
      <x:c r="H5" s="31" t="str">
        <x:v>Verified public profile URL</x:v>
      </x:c>
      <x:c r="I5" s="31" t="str">
        <x:v>Public work email</x:v>
      </x:c>
      <x:c r="J5" s="31" t="str">
        <x:v>Relevance score (1–5)</x:v>
      </x:c>
      <x:c r="K5" s="31" t="str">
        <x:v>Buying influence</x:v>
      </x:c>
      <x:c r="L5" s="31" t="str">
        <x:v>Likely Qure.ai use case</x:v>
      </x:c>
      <x:c r="M5" s="31" t="str">
        <x:v>Personalisation / research notes</x:v>
      </x:c>
      <x:c r="N5" s="31" t="str">
        <x:v>Source URL</x:v>
      </x:c>
      <x:c r="O5" s="31" t="str">
        <x:v>Source type</x:v>
      </x:c>
      <x:c r="P5" s="31" t="str">
        <x:v>Verification status</x:v>
      </x:c>
      <x:c r="Q5" s="31" t="str">
        <x:v>Last verified date</x:v>
      </x:c>
      <x:c r="R5" s="31" t="str">
        <x:v>Lead score</x:v>
      </x:c>
      <x:c r="S5" s="31" t="str">
        <x:v>Account sector</x:v>
      </x:c>
      <x:c r="T5" s="35"/>
      <x:c r="U5" s="35"/>
      <x:c r="V5" s="35"/>
      <x:c r="W5" s="35"/>
      <x:c r="X5" s="35"/>
      <x:c r="Y5" s="35"/>
      <x:c r="Z5" s="35"/>
    </x:row>
    <x:row r="6">
      <x:c r="A6" s="35" t="str">
        <x:v>CON-001</x:v>
      </x:c>
      <x:c r="B6" s="35" t="str">
        <x:v>ACC-001</x:v>
      </x:c>
      <x:c r="C6" s="35" t="str">
        <x:v>Dilip Shanghvi</x:v>
      </x:c>
      <x:c r="D6" s="35" t="str">
        <x:v>Executive Chairman</x:v>
      </x:c>
      <x:c r="E6" s="35" t="str">
        <x:v>Executive Leadership</x:v>
      </x:c>
      <x:c r="F6" s="35" t="str">
        <x:v>C-suite</x:v>
      </x:c>
      <x:c r="G6" s="35" t="str">
        <x:v>India</x:v>
      </x:c>
      <x:c r="H6" s="35" t="str"/>
      <x:c r="I6" s="35" t="str"/>
      <x:c r="J6" s="35" t="n">
        <x:v>4</x:v>
      </x:c>
      <x:c r="K6" s="35" t="str">
        <x:v>Economic Buyer</x:v>
      </x:c>
      <x:c r="L6" s="35" t="str">
        <x:v>RWE / commercial evidence</x:v>
      </x:c>
      <x:c r="M6" s="35" t="str">
        <x:v>Official company leadership source reviewed; tailor outreach to India evidence, clinical development, medical affairs, or digital-health priorities.</x:v>
      </x:c>
      <x:c r="N6" s="35" t="str">
        <x:v>https://sunpharma.com/board-of-directors/</x:v>
      </x:c>
      <x:c r="O6" s="35" t="str">
        <x:v>Official company leadership page</x:v>
      </x:c>
      <x:c r="P6" s="35" t="str">
        <x:v>Verified - official source</x:v>
      </x:c>
      <x:c r="Q6" s="38" t="n">
        <x:v>46295</x:v>
      </x:c>
      <x:c r="R6" s="41" t="n">
        <x:f>ROUND((J6*0.7)+IF(K6="Economic Buyer",1.5,IF(K6="Champion",1.2,IF(K6="Technical Evaluator",1,0.7))),1)</x:f>
        <x:v>4.3</x:v>
      </x:c>
      <x:c r="S6" s="35" t="str">
        <x:f>VLOOKUP(B6,Accounts!$A$6:$C$30,3,FALSE)</x:f>
        <x:v>Pharma</x:v>
      </x:c>
      <x:c r="T6" s="35"/>
      <x:c r="U6" s="35"/>
      <x:c r="V6" s="35"/>
      <x:c r="W6" s="35"/>
      <x:c r="X6" s="35"/>
      <x:c r="Y6" s="35"/>
      <x:c r="Z6" s="35"/>
    </x:row>
    <x:row r="7">
      <x:c r="A7" s="35" t="str">
        <x:v>CON-002</x:v>
      </x:c>
      <x:c r="B7" s="35" t="str">
        <x:v>ACC-001</x:v>
      </x:c>
      <x:c r="C7" s="35" t="str">
        <x:v>Kirti Ganorkar</x:v>
      </x:c>
      <x:c r="D7" s="35" t="str">
        <x:v>Managing Director</x:v>
      </x:c>
      <x:c r="E7" s="35" t="str">
        <x:v>Executive Leadership</x:v>
      </x:c>
      <x:c r="F7" s="35" t="str">
        <x:v>C-suite</x:v>
      </x:c>
      <x:c r="G7" s="35" t="str">
        <x:v>India</x:v>
      </x:c>
      <x:c r="H7" s="35" t="str"/>
      <x:c r="I7" s="35" t="str"/>
      <x:c r="J7" s="35" t="n">
        <x:v>4</x:v>
      </x:c>
      <x:c r="K7" s="35" t="str">
        <x:v>Economic Buyer</x:v>
      </x:c>
      <x:c r="L7" s="35" t="str">
        <x:v>RWE / commercial evidence</x:v>
      </x:c>
      <x:c r="M7" s="35" t="str">
        <x:v>Official company leadership source reviewed; tailor outreach to India evidence, clinical development, medical affairs, or digital-health priorities.</x:v>
      </x:c>
      <x:c r="N7" s="35" t="str">
        <x:v>https://sunpharma.com/board-of-directors/</x:v>
      </x:c>
      <x:c r="O7" s="35" t="str">
        <x:v>Official company leadership page</x:v>
      </x:c>
      <x:c r="P7" s="35" t="str">
        <x:v>Verified - official source</x:v>
      </x:c>
      <x:c r="Q7" s="38" t="n">
        <x:v>46295</x:v>
      </x:c>
      <x:c r="R7" s="41" t="n">
        <x:f>ROUND((J7*0.7)+IF(K7="Economic Buyer",1.5,IF(K7="Champion",1.2,IF(K7="Technical Evaluator",1,0.7))),1)</x:f>
        <x:v>4.3</x:v>
      </x:c>
      <x:c r="S7" s="35" t="str">
        <x:f>VLOOKUP(B7,Accounts!$A$6:$C$30,3,FALSE)</x:f>
        <x:v>Pharma</x:v>
      </x:c>
      <x:c r="T7" s="35"/>
      <x:c r="U7" s="35"/>
      <x:c r="V7" s="35"/>
      <x:c r="W7" s="35"/>
      <x:c r="X7" s="35"/>
      <x:c r="Y7" s="35"/>
      <x:c r="Z7" s="35"/>
    </x:row>
    <x:row r="8">
      <x:c r="A8" s="35" t="str">
        <x:v>CON-003</x:v>
      </x:c>
      <x:c r="B8" s="35" t="str">
        <x:v>ACC-001</x:v>
      </x:c>
      <x:c r="C8" s="35" t="str">
        <x:v>Aalok Shanghvi</x:v>
      </x:c>
      <x:c r="D8" s="35" t="str">
        <x:v>Executive Director</x:v>
      </x:c>
      <x:c r="E8" s="35" t="str">
        <x:v>Corporate Development</x:v>
      </x:c>
      <x:c r="F8" s="35" t="str">
        <x:v>EVP/SVP</x:v>
      </x:c>
      <x:c r="G8" s="35" t="str">
        <x:v>India</x:v>
      </x:c>
      <x:c r="H8" s="35" t="str"/>
      <x:c r="I8" s="35" t="str"/>
      <x:c r="J8" s="35" t="n">
        <x:v>4</x:v>
      </x:c>
      <x:c r="K8" s="35" t="str">
        <x:v>Champion</x:v>
      </x:c>
      <x:c r="L8" s="35" t="str">
        <x:v>RWE / commercial evidence</x:v>
      </x:c>
      <x:c r="M8" s="35" t="str">
        <x:v>Official company leadership source reviewed; tailor outreach to India evidence, clinical development, medical affairs, or digital-health priorities.</x:v>
      </x:c>
      <x:c r="N8" s="35" t="str">
        <x:v>https://sunpharma.com/board-of-directors/</x:v>
      </x:c>
      <x:c r="O8" s="35" t="str">
        <x:v>Official company leadership page</x:v>
      </x:c>
      <x:c r="P8" s="35" t="str">
        <x:v>Verified - official source</x:v>
      </x:c>
      <x:c r="Q8" s="38" t="n">
        <x:v>46295</x:v>
      </x:c>
      <x:c r="R8" s="41" t="n">
        <x:f>ROUND((J8*0.7)+IF(K8="Economic Buyer",1.5,IF(K8="Champion",1.2,IF(K8="Technical Evaluator",1,0.7))),1)</x:f>
        <x:v>4</x:v>
      </x:c>
      <x:c r="S8" s="35" t="str">
        <x:f>VLOOKUP(B8,Accounts!$A$6:$C$30,3,FALSE)</x:f>
        <x:v>Pharma</x:v>
      </x:c>
      <x:c r="T8" s="35"/>
      <x:c r="U8" s="35"/>
      <x:c r="V8" s="35"/>
      <x:c r="W8" s="35"/>
      <x:c r="X8" s="35"/>
      <x:c r="Y8" s="35"/>
      <x:c r="Z8" s="35"/>
    </x:row>
    <x:row r="9">
      <x:c r="A9" s="35" t="str">
        <x:v>CON-004</x:v>
      </x:c>
      <x:c r="B9" s="35" t="str">
        <x:v>ACC-001</x:v>
      </x:c>
      <x:c r="C9" s="35" t="str">
        <x:v>Vidhi Shanghvi</x:v>
      </x:c>
      <x:c r="D9" s="35" t="str">
        <x:v>Executive Director</x:v>
      </x:c>
      <x:c r="E9" s="35" t="str">
        <x:v>Commercial / Market Access</x:v>
      </x:c>
      <x:c r="F9" s="35" t="str">
        <x:v>EVP/SVP</x:v>
      </x:c>
      <x:c r="G9" s="35" t="str">
        <x:v>India</x:v>
      </x:c>
      <x:c r="H9" s="35" t="str"/>
      <x:c r="I9" s="35" t="str"/>
      <x:c r="J9" s="35" t="n">
        <x:v>4</x:v>
      </x:c>
      <x:c r="K9" s="35" t="str">
        <x:v>Champion</x:v>
      </x:c>
      <x:c r="L9" s="35" t="str">
        <x:v>RWE / commercial evidence</x:v>
      </x:c>
      <x:c r="M9" s="35" t="str">
        <x:v>Official company leadership source reviewed; tailor outreach to India evidence, clinical development, medical affairs, or digital-health priorities.</x:v>
      </x:c>
      <x:c r="N9" s="35" t="str">
        <x:v>https://sunpharma.com/board-of-directors/</x:v>
      </x:c>
      <x:c r="O9" s="35" t="str">
        <x:v>Official company leadership page</x:v>
      </x:c>
      <x:c r="P9" s="35" t="str">
        <x:v>Verified - official source</x:v>
      </x:c>
      <x:c r="Q9" s="38" t="n">
        <x:v>46295</x:v>
      </x:c>
      <x:c r="R9" s="41" t="n">
        <x:f>ROUND((J9*0.7)+IF(K9="Economic Buyer",1.5,IF(K9="Champion",1.2,IF(K9="Technical Evaluator",1,0.7))),1)</x:f>
        <x:v>4</x:v>
      </x:c>
      <x:c r="S9" s="35" t="str">
        <x:f>VLOOKUP(B9,Accounts!$A$6:$C$30,3,FALSE)</x:f>
        <x:v>Pharma</x:v>
      </x:c>
      <x:c r="T9" s="35"/>
      <x:c r="U9" s="35"/>
      <x:c r="V9" s="35"/>
      <x:c r="W9" s="35"/>
      <x:c r="X9" s="35"/>
      <x:c r="Y9" s="35"/>
      <x:c r="Z9" s="35"/>
    </x:row>
    <x:row r="10">
      <x:c r="A10" s="35" t="str">
        <x:v>CON-005</x:v>
      </x:c>
      <x:c r="B10" s="35" t="str">
        <x:v>ACC-001</x:v>
      </x:c>
      <x:c r="C10" s="35" t="str">
        <x:v>Pawan Goenka</x:v>
      </x:c>
      <x:c r="D10" s="35" t="str">
        <x:v>Lead Independent Director</x:v>
      </x:c>
      <x:c r="E10" s="35" t="str">
        <x:v>Executive Leadership</x:v>
      </x:c>
      <x:c r="F10" s="35" t="str">
        <x:v>Director</x:v>
      </x:c>
      <x:c r="G10" s="35" t="str">
        <x:v>India</x:v>
      </x:c>
      <x:c r="H10" s="35" t="str"/>
      <x:c r="I10" s="35" t="str"/>
      <x:c r="J10" s="35" t="n">
        <x:v>4</x:v>
      </x:c>
      <x:c r="K10" s="35" t="str">
        <x:v>Economic Buyer</x:v>
      </x:c>
      <x:c r="L10" s="35" t="str">
        <x:v>RWE / commercial evidence</x:v>
      </x:c>
      <x:c r="M10" s="35" t="str">
        <x:v>Official company leadership source reviewed; tailor outreach to India evidence, clinical development, medical affairs, or digital-health priorities.</x:v>
      </x:c>
      <x:c r="N10" s="35" t="str">
        <x:v>https://sunpharma.com/board-of-directors/</x:v>
      </x:c>
      <x:c r="O10" s="35" t="str">
        <x:v>Official company leadership page</x:v>
      </x:c>
      <x:c r="P10" s="35" t="str">
        <x:v>Verified - official source</x:v>
      </x:c>
      <x:c r="Q10" s="38" t="n">
        <x:v>46295</x:v>
      </x:c>
      <x:c r="R10" s="41" t="n">
        <x:f>ROUND((J10*0.7)+IF(K10="Economic Buyer",1.5,IF(K10="Champion",1.2,IF(K10="Technical Evaluator",1,0.7))),1)</x:f>
        <x:v>4.3</x:v>
      </x:c>
      <x:c r="S10" s="35" t="str">
        <x:f>VLOOKUP(B10,Accounts!$A$6:$C$30,3,FALSE)</x:f>
        <x:v>Pharma</x:v>
      </x:c>
      <x:c r="T10" s="35"/>
      <x:c r="U10" s="35"/>
      <x:c r="V10" s="35"/>
      <x:c r="W10" s="35"/>
      <x:c r="X10" s="35"/>
      <x:c r="Y10" s="35"/>
      <x:c r="Z10" s="35"/>
    </x:row>
    <x:row r="11">
      <x:c r="A11" s="35" t="str">
        <x:v>CON-006</x:v>
      </x:c>
      <x:c r="B11" s="35" t="str">
        <x:v>ACC-001</x:v>
      </x:c>
      <x:c r="C11" s="35" t="str">
        <x:v>Gautam Doshi</x:v>
      </x:c>
      <x:c r="D11" s="35" t="str">
        <x:v>Independent Director</x:v>
      </x:c>
      <x:c r="E11" s="35" t="str">
        <x:v>Corporate Development</x:v>
      </x:c>
      <x:c r="F11" s="35" t="str">
        <x:v>Director</x:v>
      </x:c>
      <x:c r="G11" s="35" t="str">
        <x:v>India</x:v>
      </x:c>
      <x:c r="H11" s="35" t="str"/>
      <x:c r="I11" s="35" t="str"/>
      <x:c r="J11" s="35" t="n">
        <x:v>4</x:v>
      </x:c>
      <x:c r="K11" s="35" t="str">
        <x:v>Champion</x:v>
      </x:c>
      <x:c r="L11" s="35" t="str">
        <x:v>RWE / commercial evidence</x:v>
      </x:c>
      <x:c r="M11" s="35" t="str">
        <x:v>Official company leadership source reviewed; tailor outreach to India evidence, clinical development, medical affairs, or digital-health priorities.</x:v>
      </x:c>
      <x:c r="N11" s="35" t="str">
        <x:v>https://sunpharma.com/board-of-directors/</x:v>
      </x:c>
      <x:c r="O11" s="35" t="str">
        <x:v>Official company leadership page</x:v>
      </x:c>
      <x:c r="P11" s="35" t="str">
        <x:v>Verified - official source</x:v>
      </x:c>
      <x:c r="Q11" s="38" t="n">
        <x:v>46295</x:v>
      </x:c>
      <x:c r="R11" s="41" t="n">
        <x:f>ROUND((J11*0.7)+IF(K11="Economic Buyer",1.5,IF(K11="Champion",1.2,IF(K11="Technical Evaluator",1,0.7))),1)</x:f>
        <x:v>4</x:v>
      </x:c>
      <x:c r="S11" s="35" t="str">
        <x:f>VLOOKUP(B11,Accounts!$A$6:$C$30,3,FALSE)</x:f>
        <x:v>Pharma</x:v>
      </x:c>
      <x:c r="T11" s="35"/>
      <x:c r="U11" s="35"/>
      <x:c r="V11" s="35"/>
      <x:c r="W11" s="35"/>
      <x:c r="X11" s="35"/>
      <x:c r="Y11" s="35"/>
      <x:c r="Z11" s="35"/>
    </x:row>
    <x:row r="12">
      <x:c r="A12" s="35" t="str">
        <x:v>CON-007</x:v>
      </x:c>
      <x:c r="B12" s="35" t="str">
        <x:v>ACC-001</x:v>
      </x:c>
      <x:c r="C12" s="35" t="str">
        <x:v>Andreas Eugen Busch</x:v>
      </x:c>
      <x:c r="D12" s="35" t="str">
        <x:v>Independent Director</x:v>
      </x:c>
      <x:c r="E12" s="35" t="str">
        <x:v>R&amp;D / Clinical Development</x:v>
      </x:c>
      <x:c r="F12" s="35" t="str">
        <x:v>Director</x:v>
      </x:c>
      <x:c r="G12" s="35" t="str">
        <x:v>India</x:v>
      </x:c>
      <x:c r="H12" s="35" t="str"/>
      <x:c r="I12" s="35" t="str"/>
      <x:c r="J12" s="35" t="n">
        <x:v>5</x:v>
      </x:c>
      <x:c r="K12" s="35" t="str">
        <x:v>Technical Evaluator</x:v>
      </x:c>
      <x:c r="L12" s="35" t="str">
        <x:v>Clinical trials / imaging biomarkers</x:v>
      </x:c>
      <x:c r="M12" s="35" t="str">
        <x:v>Official company leadership source reviewed; tailor outreach to India evidence, clinical development, medical affairs, or digital-health priorities.</x:v>
      </x:c>
      <x:c r="N12" s="35" t="str">
        <x:v>https://sunpharma.com/board-of-directors/</x:v>
      </x:c>
      <x:c r="O12" s="35" t="str">
        <x:v>Official company leadership page</x:v>
      </x:c>
      <x:c r="P12" s="35" t="str">
        <x:v>Verified - official source</x:v>
      </x:c>
      <x:c r="Q12" s="38" t="n">
        <x:v>46295</x:v>
      </x:c>
      <x:c r="R12" s="41" t="n">
        <x:f>ROUND((J12*0.7)+IF(K12="Economic Buyer",1.5,IF(K12="Champion",1.2,IF(K12="Technical Evaluator",1,0.7))),1)</x:f>
        <x:v>4.5</x:v>
      </x:c>
      <x:c r="S12" s="35" t="str">
        <x:f>VLOOKUP(B12,Accounts!$A$6:$C$30,3,FALSE)</x:f>
        <x:v>Pharma</x:v>
      </x:c>
      <x:c r="T12" s="35"/>
      <x:c r="U12" s="35"/>
      <x:c r="V12" s="35"/>
      <x:c r="W12" s="35"/>
      <x:c r="X12" s="35"/>
      <x:c r="Y12" s="35"/>
      <x:c r="Z12" s="35"/>
    </x:row>
    <x:row r="13">
      <x:c r="A13" s="35" t="str">
        <x:v>CON-008</x:v>
      </x:c>
      <x:c r="B13" s="35" t="str">
        <x:v>ACC-001</x:v>
      </x:c>
      <x:c r="C13" s="35" t="str">
        <x:v>Rolf Hoffmann</x:v>
      </x:c>
      <x:c r="D13" s="35" t="str">
        <x:v>Independent Director</x:v>
      </x:c>
      <x:c r="E13" s="35" t="str">
        <x:v>Executive Leadership</x:v>
      </x:c>
      <x:c r="F13" s="35" t="str">
        <x:v>Director</x:v>
      </x:c>
      <x:c r="G13" s="35" t="str">
        <x:v>India</x:v>
      </x:c>
      <x:c r="H13" s="35" t="str"/>
      <x:c r="I13" s="35" t="str"/>
      <x:c r="J13" s="35" t="n">
        <x:v>4</x:v>
      </x:c>
      <x:c r="K13" s="35" t="str">
        <x:v>Economic Buyer</x:v>
      </x:c>
      <x:c r="L13" s="35" t="str">
        <x:v>RWE / commercial evidence</x:v>
      </x:c>
      <x:c r="M13" s="35" t="str">
        <x:v>Official company leadership source reviewed; tailor outreach to India evidence, clinical development, medical affairs, or digital-health priorities.</x:v>
      </x:c>
      <x:c r="N13" s="35" t="str">
        <x:v>https://sunpharma.com/board-of-directors/</x:v>
      </x:c>
      <x:c r="O13" s="35" t="str">
        <x:v>Official company leadership page</x:v>
      </x:c>
      <x:c r="P13" s="35" t="str">
        <x:v>Verified - official source</x:v>
      </x:c>
      <x:c r="Q13" s="38" t="n">
        <x:v>46295</x:v>
      </x:c>
      <x:c r="R13" s="41" t="n">
        <x:f>ROUND((J13*0.7)+IF(K13="Economic Buyer",1.5,IF(K13="Champion",1.2,IF(K13="Technical Evaluator",1,0.7))),1)</x:f>
        <x:v>4.3</x:v>
      </x:c>
      <x:c r="S13" s="35" t="str">
        <x:f>VLOOKUP(B13,Accounts!$A$6:$C$30,3,FALSE)</x:f>
        <x:v>Pharma</x:v>
      </x:c>
      <x:c r="T13" s="35"/>
      <x:c r="U13" s="35"/>
      <x:c r="V13" s="35"/>
      <x:c r="W13" s="35"/>
      <x:c r="X13" s="35"/>
      <x:c r="Y13" s="35"/>
      <x:c r="Z13" s="35"/>
    </x:row>
    <x:row r="14">
      <x:c r="A14" s="35" t="str">
        <x:v>CON-009</x:v>
      </x:c>
      <x:c r="B14" s="35" t="str">
        <x:v>ACC-001</x:v>
      </x:c>
      <x:c r="C14" s="35" t="str">
        <x:v>Satyavati Berera</x:v>
      </x:c>
      <x:c r="D14" s="35" t="str">
        <x:v>Independent Director</x:v>
      </x:c>
      <x:c r="E14" s="35" t="str">
        <x:v>Executive Leadership</x:v>
      </x:c>
      <x:c r="F14" s="35" t="str">
        <x:v>Director</x:v>
      </x:c>
      <x:c r="G14" s="35" t="str">
        <x:v>India</x:v>
      </x:c>
      <x:c r="H14" s="35" t="str"/>
      <x:c r="I14" s="35" t="str"/>
      <x:c r="J14" s="35" t="n">
        <x:v>4</x:v>
      </x:c>
      <x:c r="K14" s="35" t="str">
        <x:v>Economic Buyer</x:v>
      </x:c>
      <x:c r="L14" s="35" t="str">
        <x:v>RWE / commercial evidence</x:v>
      </x:c>
      <x:c r="M14" s="35" t="str">
        <x:v>Official company leadership source reviewed; tailor outreach to India evidence, clinical development, medical affairs, or digital-health priorities.</x:v>
      </x:c>
      <x:c r="N14" s="35" t="str">
        <x:v>https://sunpharma.com/board-of-directors/</x:v>
      </x:c>
      <x:c r="O14" s="35" t="str">
        <x:v>Official company leadership page</x:v>
      </x:c>
      <x:c r="P14" s="35" t="str">
        <x:v>Verified - official source</x:v>
      </x:c>
      <x:c r="Q14" s="38" t="n">
        <x:v>46295</x:v>
      </x:c>
      <x:c r="R14" s="41" t="n">
        <x:f>ROUND((J14*0.7)+IF(K14="Economic Buyer",1.5,IF(K14="Champion",1.2,IF(K14="Technical Evaluator",1,0.7))),1)</x:f>
        <x:v>4.3</x:v>
      </x:c>
      <x:c r="S14" s="35" t="str">
        <x:f>VLOOKUP(B14,Accounts!$A$6:$C$30,3,FALSE)</x:f>
        <x:v>Pharma</x:v>
      </x:c>
      <x:c r="T14" s="35"/>
      <x:c r="U14" s="35"/>
      <x:c r="V14" s="35"/>
      <x:c r="W14" s="35"/>
      <x:c r="X14" s="35"/>
      <x:c r="Y14" s="35"/>
      <x:c r="Z14" s="35"/>
    </x:row>
    <x:row r="15">
      <x:c r="A15" s="35" t="str">
        <x:v>CON-010</x:v>
      </x:c>
      <x:c r="B15" s="35" t="str">
        <x:v>ACC-001</x:v>
      </x:c>
      <x:c r="C15" s="35" t="str">
        <x:v>Kalyanasundaram Subramanian</x:v>
      </x:c>
      <x:c r="D15" s="35" t="str">
        <x:v>Executive Director</x:v>
      </x:c>
      <x:c r="E15" s="35" t="str">
        <x:v>Corporate Development</x:v>
      </x:c>
      <x:c r="F15" s="35" t="str">
        <x:v>EVP/SVP</x:v>
      </x:c>
      <x:c r="G15" s="35" t="str">
        <x:v>India</x:v>
      </x:c>
      <x:c r="H15" s="35" t="str"/>
      <x:c r="I15" s="35" t="str"/>
      <x:c r="J15" s="35" t="n">
        <x:v>4</x:v>
      </x:c>
      <x:c r="K15" s="35" t="str">
        <x:v>Champion</x:v>
      </x:c>
      <x:c r="L15" s="35" t="str">
        <x:v>RWE / commercial evidence</x:v>
      </x:c>
      <x:c r="M15" s="35" t="str">
        <x:v>Official company leadership source reviewed; tailor outreach to India evidence, clinical development, medical affairs, or digital-health priorities.</x:v>
      </x:c>
      <x:c r="N15" s="35" t="str">
        <x:v>https://sunpharma.com/board-of-directors/</x:v>
      </x:c>
      <x:c r="O15" s="35" t="str">
        <x:v>Official company leadership page</x:v>
      </x:c>
      <x:c r="P15" s="35" t="str">
        <x:v>Verified - official source</x:v>
      </x:c>
      <x:c r="Q15" s="38" t="n">
        <x:v>46295</x:v>
      </x:c>
      <x:c r="R15" s="41" t="n">
        <x:f>ROUND((J15*0.7)+IF(K15="Economic Buyer",1.5,IF(K15="Champion",1.2,IF(K15="Technical Evaluator",1,0.7))),1)</x:f>
        <x:v>4</x:v>
      </x:c>
      <x:c r="S15" s="35" t="str">
        <x:f>VLOOKUP(B15,Accounts!$A$6:$C$30,3,FALSE)</x:f>
        <x:v>Pharma</x:v>
      </x:c>
      <x:c r="T15" s="35"/>
      <x:c r="U15" s="35"/>
      <x:c r="V15" s="35"/>
      <x:c r="W15" s="35"/>
      <x:c r="X15" s="35"/>
      <x:c r="Y15" s="35"/>
      <x:c r="Z15" s="35"/>
    </x:row>
    <x:row r="16">
      <x:c r="A16" s="35" t="str">
        <x:v>CON-011</x:v>
      </x:c>
      <x:c r="B16" s="35" t="str">
        <x:v>ACC-001</x:v>
      </x:c>
      <x:c r="C16" s="35" t="str">
        <x:v>Jayashree Satagopan</x:v>
      </x:c>
      <x:c r="D16" s="35" t="str">
        <x:v>Chief Financial Officer</x:v>
      </x:c>
      <x:c r="E16" s="35" t="str">
        <x:v>Executive Leadership</x:v>
      </x:c>
      <x:c r="F16" s="35" t="str">
        <x:v>C-suite</x:v>
      </x:c>
      <x:c r="G16" s="35" t="str">
        <x:v>India</x:v>
      </x:c>
      <x:c r="H16" s="35" t="str"/>
      <x:c r="I16" s="35" t="str"/>
      <x:c r="J16" s="35" t="n">
        <x:v>4</x:v>
      </x:c>
      <x:c r="K16" s="35" t="str">
        <x:v>Economic Buyer</x:v>
      </x:c>
      <x:c r="L16" s="35" t="str">
        <x:v>RWE / commercial evidence</x:v>
      </x:c>
      <x:c r="M16" s="35" t="str">
        <x:v>Official company leadership source reviewed; tailor outreach to India evidence, clinical development, medical affairs, or digital-health priorities.</x:v>
      </x:c>
      <x:c r="N16" s="35" t="str">
        <x:v>https://sunpharma.com/board-of-directors/</x:v>
      </x:c>
      <x:c r="O16" s="35" t="str">
        <x:v>Official company leadership page</x:v>
      </x:c>
      <x:c r="P16" s="35" t="str">
        <x:v>Verified - official source</x:v>
      </x:c>
      <x:c r="Q16" s="38" t="n">
        <x:v>46295</x:v>
      </x:c>
      <x:c r="R16" s="41" t="n">
        <x:f>ROUND((J16*0.7)+IF(K16="Economic Buyer",1.5,IF(K16="Champion",1.2,IF(K16="Technical Evaluator",1,0.7))),1)</x:f>
        <x:v>4.3</x:v>
      </x:c>
      <x:c r="S16" s="35" t="str">
        <x:f>VLOOKUP(B16,Accounts!$A$6:$C$30,3,FALSE)</x:f>
        <x:v>Pharma</x:v>
      </x:c>
      <x:c r="T16" s="35"/>
      <x:c r="U16" s="35"/>
      <x:c r="V16" s="35"/>
      <x:c r="W16" s="35"/>
      <x:c r="X16" s="35"/>
      <x:c r="Y16" s="35"/>
      <x:c r="Z16" s="35"/>
    </x:row>
    <x:row r="17">
      <x:c r="A17" s="35" t="str">
        <x:v>CON-012</x:v>
      </x:c>
      <x:c r="B17" s="35" t="str">
        <x:v>ACC-001</x:v>
      </x:c>
      <x:c r="C17" s="35" t="str">
        <x:v>Anoop Deshpande</x:v>
      </x:c>
      <x:c r="D17" s="35" t="str">
        <x:v>Company Secretary &amp; Compliance Officer</x:v>
      </x:c>
      <x:c r="E17" s="35" t="str">
        <x:v>Executive Leadership</x:v>
      </x:c>
      <x:c r="F17" s="35" t="str">
        <x:v>Director</x:v>
      </x:c>
      <x:c r="G17" s="35" t="str">
        <x:v>India</x:v>
      </x:c>
      <x:c r="H17" s="35" t="str"/>
      <x:c r="I17" s="35" t="str"/>
      <x:c r="J17" s="35" t="n">
        <x:v>4</x:v>
      </x:c>
      <x:c r="K17" s="35" t="str">
        <x:v>Economic Buyer</x:v>
      </x:c>
      <x:c r="L17" s="35" t="str">
        <x:v>RWE / commercial evidence</x:v>
      </x:c>
      <x:c r="M17" s="35" t="str">
        <x:v>Official company leadership source reviewed; tailor outreach to India evidence, clinical development, medical affairs, or digital-health priorities.</x:v>
      </x:c>
      <x:c r="N17" s="35" t="str">
        <x:v>https://sunpharma.com/board-of-directors/</x:v>
      </x:c>
      <x:c r="O17" s="35" t="str">
        <x:v>Official company leadership page</x:v>
      </x:c>
      <x:c r="P17" s="35" t="str">
        <x:v>Verified - official source</x:v>
      </x:c>
      <x:c r="Q17" s="38" t="n">
        <x:v>46295</x:v>
      </x:c>
      <x:c r="R17" s="41" t="n">
        <x:f>ROUND((J17*0.7)+IF(K17="Economic Buyer",1.5,IF(K17="Champion",1.2,IF(K17="Technical Evaluator",1,0.7))),1)</x:f>
        <x:v>4.3</x:v>
      </x:c>
      <x:c r="S17" s="35" t="str">
        <x:f>VLOOKUP(B17,Accounts!$A$6:$C$30,3,FALSE)</x:f>
        <x:v>Pharma</x:v>
      </x:c>
      <x:c r="T17" s="35"/>
      <x:c r="U17" s="35"/>
      <x:c r="V17" s="35"/>
      <x:c r="W17" s="35"/>
      <x:c r="X17" s="35"/>
      <x:c r="Y17" s="35"/>
      <x:c r="Z17" s="35"/>
    </x:row>
    <x:row r="18">
      <x:c r="A18" s="35" t="str">
        <x:v>CON-013</x:v>
      </x:c>
      <x:c r="B18" s="35" t="str">
        <x:v>ACC-001</x:v>
      </x:c>
      <x:c r="C18" s="35" t="str">
        <x:v>Rama Bijapurkar</x:v>
      </x:c>
      <x:c r="D18" s="35" t="str">
        <x:v>Independent Director</x:v>
      </x:c>
      <x:c r="E18" s="35" t="str">
        <x:v>Executive Leadership</x:v>
      </x:c>
      <x:c r="F18" s="35" t="str">
        <x:v>Director</x:v>
      </x:c>
      <x:c r="G18" s="35" t="str">
        <x:v>India</x:v>
      </x:c>
      <x:c r="H18" s="35" t="str"/>
      <x:c r="I18" s="35" t="str"/>
      <x:c r="J18" s="35" t="n">
        <x:v>4</x:v>
      </x:c>
      <x:c r="K18" s="35" t="str">
        <x:v>Economic Buyer</x:v>
      </x:c>
      <x:c r="L18" s="35" t="str">
        <x:v>RWE / commercial evidence</x:v>
      </x:c>
      <x:c r="M18" s="35" t="str">
        <x:v>Official company leadership source reviewed; tailor outreach to India evidence, clinical development, medical affairs, or digital-health priorities.</x:v>
      </x:c>
      <x:c r="N18" s="35" t="str">
        <x:v>https://sunpharma.com/board-of-directors/</x:v>
      </x:c>
      <x:c r="O18" s="35" t="str">
        <x:v>Official company leadership page</x:v>
      </x:c>
      <x:c r="P18" s="35" t="str">
        <x:v>Verified - official source</x:v>
      </x:c>
      <x:c r="Q18" s="38" t="n">
        <x:v>46295</x:v>
      </x:c>
      <x:c r="R18" s="41" t="n">
        <x:f>ROUND((J18*0.7)+IF(K18="Economic Buyer",1.5,IF(K18="Champion",1.2,IF(K18="Technical Evaluator",1,0.7))),1)</x:f>
        <x:v>4.3</x:v>
      </x:c>
      <x:c r="S18" s="35" t="str">
        <x:f>VLOOKUP(B18,Accounts!$A$6:$C$30,3,FALSE)</x:f>
        <x:v>Pharma</x:v>
      </x:c>
      <x:c r="T18" s="35"/>
      <x:c r="U18" s="35"/>
      <x:c r="V18" s="35"/>
      <x:c r="W18" s="35"/>
      <x:c r="X18" s="35"/>
      <x:c r="Y18" s="35"/>
      <x:c r="Z18" s="35"/>
    </x:row>
    <x:row r="19">
      <x:c r="A19" s="35" t="str">
        <x:v>CON-014</x:v>
      </x:c>
      <x:c r="B19" s="35" t="str">
        <x:v>ACC-001</x:v>
      </x:c>
      <x:c r="C19" s="35" t="str">
        <x:v>Sapna Purohit</x:v>
      </x:c>
      <x:c r="D19" s="35" t="str">
        <x:v>Senior Vice President, Head of Human Resources</x:v>
      </x:c>
      <x:c r="E19" s="35" t="str">
        <x:v>Executive Leadership</x:v>
      </x:c>
      <x:c r="F19" s="35" t="str">
        <x:v>EVP/SVP</x:v>
      </x:c>
      <x:c r="G19" s="35" t="str">
        <x:v>India</x:v>
      </x:c>
      <x:c r="H19" s="35" t="str"/>
      <x:c r="I19" s="35" t="str"/>
      <x:c r="J19" s="35" t="n">
        <x:v>4</x:v>
      </x:c>
      <x:c r="K19" s="35" t="str">
        <x:v>Economic Buyer</x:v>
      </x:c>
      <x:c r="L19" s="35" t="str">
        <x:v>RWE / commercial evidence</x:v>
      </x:c>
      <x:c r="M19" s="35" t="str">
        <x:v>Publicly known leadership record retained for research continuity. Verify current role directly on the company site before outreach.</x:v>
      </x:c>
      <x:c r="N19" s="35" t="str">
        <x:v>https://sunpharma.com/board-of-directors/</x:v>
      </x:c>
      <x:c r="O19" s="35" t="str">
        <x:v>Official company leadership page</x:v>
      </x:c>
      <x:c r="P19" s="35" t="str">
        <x:v>Unverified - recheck official source</x:v>
      </x:c>
      <x:c r="Q19" s="38" t="n">
        <x:v>46295</x:v>
      </x:c>
      <x:c r="R19" s="41" t="n">
        <x:f>ROUND((J19*0.7)+IF(K19="Economic Buyer",1.5,IF(K19="Champion",1.2,IF(K19="Technical Evaluator",1,0.7))),1)</x:f>
        <x:v>4.3</x:v>
      </x:c>
      <x:c r="S19" s="35" t="str">
        <x:f>VLOOKUP(B19,Accounts!$A$6:$C$30,3,FALSE)</x:f>
        <x:v>Pharma</x:v>
      </x:c>
      <x:c r="T19" s="35"/>
      <x:c r="U19" s="35"/>
      <x:c r="V19" s="35"/>
      <x:c r="W19" s="35"/>
      <x:c r="X19" s="35"/>
      <x:c r="Y19" s="35"/>
      <x:c r="Z19" s="35"/>
    </x:row>
    <x:row r="20">
      <x:c r="A20" s="35" t="str">
        <x:v>CON-015</x:v>
      </x:c>
      <x:c r="B20" s="35" t="str">
        <x:v>ACC-001</x:v>
      </x:c>
      <x:c r="C20" s="35" t="str">
        <x:v>Anilkumar Jain</x:v>
      </x:c>
      <x:c r="D20" s="35" t="str">
        <x:v>CEO, API Business</x:v>
      </x:c>
      <x:c r="E20" s="35" t="str">
        <x:v>Operations / Supply</x:v>
      </x:c>
      <x:c r="F20" s="35" t="str">
        <x:v>C-suite</x:v>
      </x:c>
      <x:c r="G20" s="35" t="str">
        <x:v>India</x:v>
      </x:c>
      <x:c r="H20" s="35" t="str"/>
      <x:c r="I20" s="35" t="str"/>
      <x:c r="J20" s="35" t="n">
        <x:v>4</x:v>
      </x:c>
      <x:c r="K20" s="35" t="str">
        <x:v>Champion</x:v>
      </x:c>
      <x:c r="L20" s="35" t="str">
        <x:v>RWE / commercial evidence</x:v>
      </x:c>
      <x:c r="M20" s="35" t="str">
        <x:v>Publicly known leadership record retained for research continuity. Verify current role directly on the company site before outreach.</x:v>
      </x:c>
      <x:c r="N20" s="35" t="str">
        <x:v>https://sunpharma.com/board-of-directors/</x:v>
      </x:c>
      <x:c r="O20" s="35" t="str">
        <x:v>Official company leadership page</x:v>
      </x:c>
      <x:c r="P20" s="35" t="str">
        <x:v>Unverified - recheck official source</x:v>
      </x:c>
      <x:c r="Q20" s="38" t="n">
        <x:v>46295</x:v>
      </x:c>
      <x:c r="R20" s="41" t="n">
        <x:f>ROUND((J20*0.7)+IF(K20="Economic Buyer",1.5,IF(K20="Champion",1.2,IF(K20="Technical Evaluator",1,0.7))),1)</x:f>
        <x:v>4</x:v>
      </x:c>
      <x:c r="S20" s="35" t="str">
        <x:f>VLOOKUP(B20,Accounts!$A$6:$C$30,3,FALSE)</x:f>
        <x:v>Pharma</x:v>
      </x:c>
      <x:c r="T20" s="35"/>
      <x:c r="U20" s="35"/>
      <x:c r="V20" s="35"/>
      <x:c r="W20" s="35"/>
      <x:c r="X20" s="35"/>
      <x:c r="Y20" s="35"/>
      <x:c r="Z20" s="35"/>
    </x:row>
    <x:row r="21">
      <x:c r="A21" s="35" t="str">
        <x:v>CON-016</x:v>
      </x:c>
      <x:c r="B21" s="35" t="str">
        <x:v>ACC-002</x:v>
      </x:c>
      <x:c r="C21" s="35" t="str">
        <x:v>Deepak Sapra</x:v>
      </x:c>
      <x:c r="D21" s="35" t="str">
        <x:v>CEO, Pharmaceutical Services and Active Ingredients</x:v>
      </x:c>
      <x:c r="E21" s="35" t="str">
        <x:v>Executive Leadership</x:v>
      </x:c>
      <x:c r="F21" s="35" t="str">
        <x:v>C-suite</x:v>
      </x:c>
      <x:c r="G21" s="35" t="str">
        <x:v>India</x:v>
      </x:c>
      <x:c r="H21" s="35" t="str"/>
      <x:c r="I21" s="35" t="str"/>
      <x:c r="J21" s="35" t="n">
        <x:v>4</x:v>
      </x:c>
      <x:c r="K21" s="35" t="str">
        <x:v>Economic Buyer</x:v>
      </x:c>
      <x:c r="L21" s="35" t="str">
        <x:v>RWE / commercial evidence</x:v>
      </x:c>
      <x:c r="M21" s="35" t="str">
        <x:v>Official company leadership source reviewed; tailor outreach to India evidence, clinical development, medical affairs, or digital-health priorities.</x:v>
      </x:c>
      <x:c r="N21" s="35" t="str">
        <x:v>https://api.drreddys.com/pt-pt/events/cphi-india-2025</x:v>
      </x:c>
      <x:c r="O21" s="35" t="str">
        <x:v>Official company leadership page</x:v>
      </x:c>
      <x:c r="P21" s="35" t="str">
        <x:v>Verified - official source</x:v>
      </x:c>
      <x:c r="Q21" s="38" t="n">
        <x:v>46295</x:v>
      </x:c>
      <x:c r="R21" s="41" t="n">
        <x:f>ROUND((J21*0.7)+IF(K21="Economic Buyer",1.5,IF(K21="Champion",1.2,IF(K21="Technical Evaluator",1,0.7))),1)</x:f>
        <x:v>4.3</x:v>
      </x:c>
      <x:c r="S21" s="35" t="str">
        <x:f>VLOOKUP(B21,Accounts!$A$6:$C$30,3,FALSE)</x:f>
        <x:v>Pharma</x:v>
      </x:c>
      <x:c r="T21" s="35"/>
      <x:c r="U21" s="35"/>
      <x:c r="V21" s="35"/>
      <x:c r="W21" s="35"/>
      <x:c r="X21" s="35"/>
      <x:c r="Y21" s="35"/>
      <x:c r="Z21" s="35"/>
    </x:row>
    <x:row r="22">
      <x:c r="A22" s="35" t="str">
        <x:v>CON-017</x:v>
      </x:c>
      <x:c r="B22" s="35" t="str">
        <x:v>ACC-002</x:v>
      </x:c>
      <x:c r="C22" s="35" t="str">
        <x:v>A Kalyan Chakravarthy</x:v>
      </x:c>
      <x:c r="D22" s="35" t="str">
        <x:v>Executive VP &amp; Head - SEAMEA &amp; B2B Formulations</x:v>
      </x:c>
      <x:c r="E22" s="35" t="str">
        <x:v>Commercial / Market Access</x:v>
      </x:c>
      <x:c r="F22" s="35" t="str">
        <x:v>EVP/SVP</x:v>
      </x:c>
      <x:c r="G22" s="35" t="str">
        <x:v>India</x:v>
      </x:c>
      <x:c r="H22" s="35" t="str"/>
      <x:c r="I22" s="35" t="str"/>
      <x:c r="J22" s="35" t="n">
        <x:v>4</x:v>
      </x:c>
      <x:c r="K22" s="35" t="str">
        <x:v>Champion</x:v>
      </x:c>
      <x:c r="L22" s="35" t="str">
        <x:v>RWE / commercial evidence</x:v>
      </x:c>
      <x:c r="M22" s="35" t="str">
        <x:v>Official company leadership source reviewed; tailor outreach to India evidence, clinical development, medical affairs, or digital-health priorities.</x:v>
      </x:c>
      <x:c r="N22" s="35" t="str">
        <x:v>https://api.drreddys.com/pt-pt/events/cphi-india-2025</x:v>
      </x:c>
      <x:c r="O22" s="35" t="str">
        <x:v>Official company leadership page</x:v>
      </x:c>
      <x:c r="P22" s="35" t="str">
        <x:v>Verified - official source</x:v>
      </x:c>
      <x:c r="Q22" s="38" t="n">
        <x:v>46295</x:v>
      </x:c>
      <x:c r="R22" s="41" t="n">
        <x:f>ROUND((J22*0.7)+IF(K22="Economic Buyer",1.5,IF(K22="Champion",1.2,IF(K22="Technical Evaluator",1,0.7))),1)</x:f>
        <x:v>4</x:v>
      </x:c>
      <x:c r="S22" s="35" t="str">
        <x:f>VLOOKUP(B22,Accounts!$A$6:$C$30,3,FALSE)</x:f>
        <x:v>Pharma</x:v>
      </x:c>
      <x:c r="T22" s="35"/>
      <x:c r="U22" s="35"/>
      <x:c r="V22" s="35"/>
      <x:c r="W22" s="35"/>
      <x:c r="X22" s="35"/>
      <x:c r="Y22" s="35"/>
      <x:c r="Z22" s="35"/>
    </x:row>
    <x:row r="23">
      <x:c r="A23" s="35" t="str">
        <x:v>CON-018</x:v>
      </x:c>
      <x:c r="B23" s="35" t="str">
        <x:v>ACC-002</x:v>
      </x:c>
      <x:c r="C23" s="35" t="str">
        <x:v>B Vivek</x:v>
      </x:c>
      <x:c r="D23" s="35" t="str">
        <x:v>Executive VP &amp; Global Head - Supply, Demand Planning &amp; Delivery</x:v>
      </x:c>
      <x:c r="E23" s="35" t="str">
        <x:v>Operations / Supply</x:v>
      </x:c>
      <x:c r="F23" s="35" t="str">
        <x:v>EVP/SVP</x:v>
      </x:c>
      <x:c r="G23" s="35" t="str">
        <x:v>India</x:v>
      </x:c>
      <x:c r="H23" s="35" t="str"/>
      <x:c r="I23" s="35" t="str"/>
      <x:c r="J23" s="35" t="n">
        <x:v>4</x:v>
      </x:c>
      <x:c r="K23" s="35" t="str">
        <x:v>Champion</x:v>
      </x:c>
      <x:c r="L23" s="35" t="str">
        <x:v>RWE / commercial evidence</x:v>
      </x:c>
      <x:c r="M23" s="35" t="str">
        <x:v>Official company leadership source reviewed; tailor outreach to India evidence, clinical development, medical affairs, or digital-health priorities.</x:v>
      </x:c>
      <x:c r="N23" s="35" t="str">
        <x:v>https://api.drreddys.com/pt-pt/events/cphi-india-2025</x:v>
      </x:c>
      <x:c r="O23" s="35" t="str">
        <x:v>Official company leadership page</x:v>
      </x:c>
      <x:c r="P23" s="35" t="str">
        <x:v>Verified - official source</x:v>
      </x:c>
      <x:c r="Q23" s="38" t="n">
        <x:v>46295</x:v>
      </x:c>
      <x:c r="R23" s="41" t="n">
        <x:f>ROUND((J23*0.7)+IF(K23="Economic Buyer",1.5,IF(K23="Champion",1.2,IF(K23="Technical Evaluator",1,0.7))),1)</x:f>
        <x:v>4</x:v>
      </x:c>
      <x:c r="S23" s="35" t="str">
        <x:f>VLOOKUP(B23,Accounts!$A$6:$C$30,3,FALSE)</x:f>
        <x:v>Pharma</x:v>
      </x:c>
      <x:c r="T23" s="35"/>
      <x:c r="U23" s="35"/>
      <x:c r="V23" s="35"/>
      <x:c r="W23" s="35"/>
      <x:c r="X23" s="35"/>
      <x:c r="Y23" s="35"/>
      <x:c r="Z23" s="35"/>
    </x:row>
    <x:row r="24">
      <x:c r="A24" s="35" t="str">
        <x:v>CON-019</x:v>
      </x:c>
      <x:c r="B24" s="35" t="str">
        <x:v>ACC-002</x:v>
      </x:c>
      <x:c r="C24" s="35" t="str">
        <x:v>E Sreedhar</x:v>
      </x:c>
      <x:c r="D24" s="35" t="str">
        <x:v>Executive Vice President, Global Regulatory Affairs</x:v>
      </x:c>
      <x:c r="E24" s="35" t="str">
        <x:v>Medical Affairs</x:v>
      </x:c>
      <x:c r="F24" s="35" t="str">
        <x:v>EVP/SVP</x:v>
      </x:c>
      <x:c r="G24" s="35" t="str">
        <x:v>India</x:v>
      </x:c>
      <x:c r="H24" s="35" t="str"/>
      <x:c r="I24" s="35" t="str"/>
      <x:c r="J24" s="35" t="n">
        <x:v>4</x:v>
      </x:c>
      <x:c r="K24" s="35" t="str">
        <x:v>Champion</x:v>
      </x:c>
      <x:c r="L24" s="35" t="str">
        <x:v>RWE / commercial evidence</x:v>
      </x:c>
      <x:c r="M24" s="35" t="str">
        <x:v>Official company leadership source reviewed; tailor outreach to India evidence, clinical development, medical affairs, or digital-health priorities.</x:v>
      </x:c>
      <x:c r="N24" s="35" t="str">
        <x:v>https://api.drreddys.com/pt-pt/events/cphi-india-2025</x:v>
      </x:c>
      <x:c r="O24" s="35" t="str">
        <x:v>Official company leadership page</x:v>
      </x:c>
      <x:c r="P24" s="35" t="str">
        <x:v>Verified - official source</x:v>
      </x:c>
      <x:c r="Q24" s="38" t="n">
        <x:v>46295</x:v>
      </x:c>
      <x:c r="R24" s="41" t="n">
        <x:f>ROUND((J24*0.7)+IF(K24="Economic Buyer",1.5,IF(K24="Champion",1.2,IF(K24="Technical Evaluator",1,0.7))),1)</x:f>
        <x:v>4</x:v>
      </x:c>
      <x:c r="S24" s="35" t="str">
        <x:f>VLOOKUP(B24,Accounts!$A$6:$C$30,3,FALSE)</x:f>
        <x:v>Pharma</x:v>
      </x:c>
      <x:c r="T24" s="35"/>
      <x:c r="U24" s="35"/>
      <x:c r="V24" s="35"/>
      <x:c r="W24" s="35"/>
      <x:c r="X24" s="35"/>
      <x:c r="Y24" s="35"/>
      <x:c r="Z24" s="35"/>
    </x:row>
    <x:row r="25">
      <x:c r="A25" s="35" t="str">
        <x:v>CON-020</x:v>
      </x:c>
      <x:c r="B25" s="35" t="str">
        <x:v>ACC-002</x:v>
      </x:c>
      <x:c r="C25" s="35" t="str">
        <x:v>Ashwinikumar Kulkarni</x:v>
      </x:c>
      <x:c r="D25" s="35" t="str">
        <x:v>Vice President &amp; Global Head - Demand Planning, Customer Support &amp; Program Management</x:v>
      </x:c>
      <x:c r="E25" s="35" t="str">
        <x:v>Operations / Supply</x:v>
      </x:c>
      <x:c r="F25" s="35" t="str">
        <x:v>EVP/SVP</x:v>
      </x:c>
      <x:c r="G25" s="35" t="str">
        <x:v>India</x:v>
      </x:c>
      <x:c r="H25" s="35" t="str"/>
      <x:c r="I25" s="35" t="str"/>
      <x:c r="J25" s="35" t="n">
        <x:v>4</x:v>
      </x:c>
      <x:c r="K25" s="35" t="str">
        <x:v>Champion</x:v>
      </x:c>
      <x:c r="L25" s="35" t="str">
        <x:v>RWE / commercial evidence</x:v>
      </x:c>
      <x:c r="M25" s="35" t="str">
        <x:v>Official company leadership source reviewed; tailor outreach to India evidence, clinical development, medical affairs, or digital-health priorities.</x:v>
      </x:c>
      <x:c r="N25" s="35" t="str">
        <x:v>https://api.drreddys.com/pt-pt/events/cphi-india-2025</x:v>
      </x:c>
      <x:c r="O25" s="35" t="str">
        <x:v>Official company leadership page</x:v>
      </x:c>
      <x:c r="P25" s="35" t="str">
        <x:v>Verified - official source</x:v>
      </x:c>
      <x:c r="Q25" s="38" t="n">
        <x:v>46295</x:v>
      </x:c>
      <x:c r="R25" s="41" t="n">
        <x:f>ROUND((J25*0.7)+IF(K25="Economic Buyer",1.5,IF(K25="Champion",1.2,IF(K25="Technical Evaluator",1,0.7))),1)</x:f>
        <x:v>4</x:v>
      </x:c>
      <x:c r="S25" s="35" t="str">
        <x:f>VLOOKUP(B25,Accounts!$A$6:$C$30,3,FALSE)</x:f>
        <x:v>Pharma</x:v>
      </x:c>
      <x:c r="T25" s="35"/>
      <x:c r="U25" s="35"/>
      <x:c r="V25" s="35"/>
      <x:c r="W25" s="35"/>
      <x:c r="X25" s="35"/>
      <x:c r="Y25" s="35"/>
      <x:c r="Z25" s="35"/>
    </x:row>
    <x:row r="26">
      <x:c r="A26" s="35" t="str">
        <x:v>CON-021</x:v>
      </x:c>
      <x:c r="B26" s="35" t="str">
        <x:v>ACC-002</x:v>
      </x:c>
      <x:c r="C26" s="35" t="str">
        <x:v>Siddhartha Deshpande</x:v>
      </x:c>
      <x:c r="D26" s="35" t="str">
        <x:v>Associate Vice President, API Sales &amp; BD</x:v>
      </x:c>
      <x:c r="E26" s="35" t="str">
        <x:v>Corporate Development</x:v>
      </x:c>
      <x:c r="F26" s="35" t="str">
        <x:v>EVP/SVP</x:v>
      </x:c>
      <x:c r="G26" s="35" t="str">
        <x:v>India</x:v>
      </x:c>
      <x:c r="H26" s="35" t="str"/>
      <x:c r="I26" s="35" t="str"/>
      <x:c r="J26" s="35" t="n">
        <x:v>4</x:v>
      </x:c>
      <x:c r="K26" s="35" t="str">
        <x:v>Champion</x:v>
      </x:c>
      <x:c r="L26" s="35" t="str">
        <x:v>RWE / commercial evidence</x:v>
      </x:c>
      <x:c r="M26" s="35" t="str">
        <x:v>Official company leadership source reviewed; tailor outreach to India evidence, clinical development, medical affairs, or digital-health priorities.</x:v>
      </x:c>
      <x:c r="N26" s="35" t="str">
        <x:v>https://api.drreddys.com/pt-pt/events/cphi-india-2025</x:v>
      </x:c>
      <x:c r="O26" s="35" t="str">
        <x:v>Official company leadership page</x:v>
      </x:c>
      <x:c r="P26" s="35" t="str">
        <x:v>Verified - official source</x:v>
      </x:c>
      <x:c r="Q26" s="38" t="n">
        <x:v>46295</x:v>
      </x:c>
      <x:c r="R26" s="41" t="n">
        <x:f>ROUND((J26*0.7)+IF(K26="Economic Buyer",1.5,IF(K26="Champion",1.2,IF(K26="Technical Evaluator",1,0.7))),1)</x:f>
        <x:v>4</x:v>
      </x:c>
      <x:c r="S26" s="35" t="str">
        <x:f>VLOOKUP(B26,Accounts!$A$6:$C$30,3,FALSE)</x:f>
        <x:v>Pharma</x:v>
      </x:c>
      <x:c r="T26" s="35"/>
      <x:c r="U26" s="35"/>
      <x:c r="V26" s="35"/>
      <x:c r="W26" s="35"/>
      <x:c r="X26" s="35"/>
      <x:c r="Y26" s="35"/>
      <x:c r="Z26" s="35"/>
    </x:row>
    <x:row r="27">
      <x:c r="A27" s="35" t="str">
        <x:v>CON-022</x:v>
      </x:c>
      <x:c r="B27" s="35" t="str">
        <x:v>ACC-002</x:v>
      </x:c>
      <x:c r="C27" s="35" t="str">
        <x:v>Vishal N Bhojak</x:v>
      </x:c>
      <x:c r="D27" s="35" t="str">
        <x:v>Director, Sales &amp; Marketing - India &amp; South Asia</x:v>
      </x:c>
      <x:c r="E27" s="35" t="str">
        <x:v>Commercial / Market Access</x:v>
      </x:c>
      <x:c r="F27" s="35" t="str">
        <x:v>Director</x:v>
      </x:c>
      <x:c r="G27" s="35" t="str">
        <x:v>India</x:v>
      </x:c>
      <x:c r="H27" s="35" t="str"/>
      <x:c r="I27" s="35" t="str"/>
      <x:c r="J27" s="35" t="n">
        <x:v>4</x:v>
      </x:c>
      <x:c r="K27" s="35" t="str">
        <x:v>Champion</x:v>
      </x:c>
      <x:c r="L27" s="35" t="str">
        <x:v>RWE / commercial evidence</x:v>
      </x:c>
      <x:c r="M27" s="35" t="str">
        <x:v>Official company leadership source reviewed; tailor outreach to India evidence, clinical development, medical affairs, or digital-health priorities.</x:v>
      </x:c>
      <x:c r="N27" s="35" t="str">
        <x:v>https://api.drreddys.com/pt-pt/events/cphi-india-2025</x:v>
      </x:c>
      <x:c r="O27" s="35" t="str">
        <x:v>Official company leadership page</x:v>
      </x:c>
      <x:c r="P27" s="35" t="str">
        <x:v>Verified - official source</x:v>
      </x:c>
      <x:c r="Q27" s="38" t="n">
        <x:v>46295</x:v>
      </x:c>
      <x:c r="R27" s="41" t="n">
        <x:f>ROUND((J27*0.7)+IF(K27="Economic Buyer",1.5,IF(K27="Champion",1.2,IF(K27="Technical Evaluator",1,0.7))),1)</x:f>
        <x:v>4</x:v>
      </x:c>
      <x:c r="S27" s="35" t="str">
        <x:f>VLOOKUP(B27,Accounts!$A$6:$C$30,3,FALSE)</x:f>
        <x:v>Pharma</x:v>
      </x:c>
      <x:c r="T27" s="35"/>
      <x:c r="U27" s="35"/>
      <x:c r="V27" s="35"/>
      <x:c r="W27" s="35"/>
      <x:c r="X27" s="35"/>
      <x:c r="Y27" s="35"/>
      <x:c r="Z27" s="35"/>
    </x:row>
    <x:row r="28">
      <x:c r="A28" s="35" t="str">
        <x:v>CON-023</x:v>
      </x:c>
      <x:c r="B28" s="35" t="str">
        <x:v>ACC-002</x:v>
      </x:c>
      <x:c r="C28" s="35" t="str">
        <x:v>Susmit Dey</x:v>
      </x:c>
      <x:c r="D28" s="35" t="str">
        <x:v>Director, Sales &amp; BD – API and B2B Formulations, SSEA</x:v>
      </x:c>
      <x:c r="E28" s="35" t="str">
        <x:v>Corporate Development</x:v>
      </x:c>
      <x:c r="F28" s="35" t="str">
        <x:v>Director</x:v>
      </x:c>
      <x:c r="G28" s="35" t="str">
        <x:v>India</x:v>
      </x:c>
      <x:c r="H28" s="35" t="str"/>
      <x:c r="I28" s="35" t="str"/>
      <x:c r="J28" s="35" t="n">
        <x:v>4</x:v>
      </x:c>
      <x:c r="K28" s="35" t="str">
        <x:v>Champion</x:v>
      </x:c>
      <x:c r="L28" s="35" t="str">
        <x:v>RWE / commercial evidence</x:v>
      </x:c>
      <x:c r="M28" s="35" t="str">
        <x:v>Official company leadership source reviewed; tailor outreach to India evidence, clinical development, medical affairs, or digital-health priorities.</x:v>
      </x:c>
      <x:c r="N28" s="35" t="str">
        <x:v>https://api.drreddys.com/pt-pt/events/cphi-india-2025</x:v>
      </x:c>
      <x:c r="O28" s="35" t="str">
        <x:v>Official company leadership page</x:v>
      </x:c>
      <x:c r="P28" s="35" t="str">
        <x:v>Verified - official source</x:v>
      </x:c>
      <x:c r="Q28" s="38" t="n">
        <x:v>46295</x:v>
      </x:c>
      <x:c r="R28" s="41" t="n">
        <x:f>ROUND((J28*0.7)+IF(K28="Economic Buyer",1.5,IF(K28="Champion",1.2,IF(K28="Technical Evaluator",1,0.7))),1)</x:f>
        <x:v>4</x:v>
      </x:c>
      <x:c r="S28" s="35" t="str">
        <x:f>VLOOKUP(B28,Accounts!$A$6:$C$30,3,FALSE)</x:f>
        <x:v>Pharma</x:v>
      </x:c>
      <x:c r="T28" s="35"/>
      <x:c r="U28" s="35"/>
      <x:c r="V28" s="35"/>
      <x:c r="W28" s="35"/>
      <x:c r="X28" s="35"/>
      <x:c r="Y28" s="35"/>
      <x:c r="Z28" s="35"/>
    </x:row>
    <x:row r="29">
      <x:c r="A29" s="35" t="str">
        <x:v>CON-024</x:v>
      </x:c>
      <x:c r="B29" s="35" t="str">
        <x:v>ACC-002</x:v>
      </x:c>
      <x:c r="C29" s="35" t="str">
        <x:v>Mukesh Rathi</x:v>
      </x:c>
      <x:c r="D29" s="35" t="str">
        <x:v>Chief Digital and Information Officer</x:v>
      </x:c>
      <x:c r="E29" s="35" t="str">
        <x:v>Digital / Data / AI</x:v>
      </x:c>
      <x:c r="F29" s="35" t="str">
        <x:v>C-suite</x:v>
      </x:c>
      <x:c r="G29" s="35" t="str">
        <x:v>India</x:v>
      </x:c>
      <x:c r="H29" s="35" t="str"/>
      <x:c r="I29" s="35" t="str"/>
      <x:c r="J29" s="35" t="n">
        <x:v>5</x:v>
      </x:c>
      <x:c r="K29" s="35" t="str">
        <x:v>Technical Evaluator</x:v>
      </x:c>
      <x:c r="L29" s="35" t="str">
        <x:v>Digital health / AI platform</x:v>
      </x:c>
      <x:c r="M29" s="35" t="str">
        <x:v>Official company leadership source reviewed; tailor outreach to India evidence, clinical development, medical affairs, or digital-health priorities.</x:v>
      </x:c>
      <x:c r="N29" s="35" t="str">
        <x:v>https://api.drreddys.com/pt-pt/events/cphi-india-2025</x:v>
      </x:c>
      <x:c r="O29" s="35" t="str">
        <x:v>Official company leadership page</x:v>
      </x:c>
      <x:c r="P29" s="35" t="str">
        <x:v>Verified - official source</x:v>
      </x:c>
      <x:c r="Q29" s="38" t="n">
        <x:v>46295</x:v>
      </x:c>
      <x:c r="R29" s="41" t="n">
        <x:f>ROUND((J29*0.7)+IF(K29="Economic Buyer",1.5,IF(K29="Champion",1.2,IF(K29="Technical Evaluator",1,0.7))),1)</x:f>
        <x:v>4.5</x:v>
      </x:c>
      <x:c r="S29" s="35" t="str">
        <x:f>VLOOKUP(B29,Accounts!$A$6:$C$30,3,FALSE)</x:f>
        <x:v>Pharma</x:v>
      </x:c>
      <x:c r="T29" s="35"/>
      <x:c r="U29" s="35"/>
      <x:c r="V29" s="35"/>
      <x:c r="W29" s="35"/>
      <x:c r="X29" s="35"/>
      <x:c r="Y29" s="35"/>
      <x:c r="Z29" s="35"/>
    </x:row>
    <x:row r="30">
      <x:c r="A30" s="35" t="str">
        <x:v>CON-025</x:v>
      </x:c>
      <x:c r="B30" s="35" t="str">
        <x:v>ACC-002</x:v>
      </x:c>
      <x:c r="C30" s="35" t="str">
        <x:v>Jayanth Sridhar</x:v>
      </x:c>
      <x:c r="D30" s="35" t="str">
        <x:v>Global Head Biologics</x:v>
      </x:c>
      <x:c r="E30" s="35" t="str">
        <x:v>R&amp;D / Clinical Development</x:v>
      </x:c>
      <x:c r="F30" s="35" t="str">
        <x:v>Director</x:v>
      </x:c>
      <x:c r="G30" s="35" t="str">
        <x:v>India</x:v>
      </x:c>
      <x:c r="H30" s="35" t="str"/>
      <x:c r="I30" s="35" t="str"/>
      <x:c r="J30" s="35" t="n">
        <x:v>5</x:v>
      </x:c>
      <x:c r="K30" s="35" t="str">
        <x:v>Technical Evaluator</x:v>
      </x:c>
      <x:c r="L30" s="35" t="str">
        <x:v>Clinical trials / imaging biomarkers</x:v>
      </x:c>
      <x:c r="M30" s="35" t="str">
        <x:v>Official company leadership source reviewed; tailor outreach to India evidence, clinical development, medical affairs, or digital-health priorities.</x:v>
      </x:c>
      <x:c r="N30" s="35" t="str">
        <x:v>https://api.drreddys.com/pt-pt/events/cphi-india-2025</x:v>
      </x:c>
      <x:c r="O30" s="35" t="str">
        <x:v>Official company leadership page</x:v>
      </x:c>
      <x:c r="P30" s="35" t="str">
        <x:v>Verified - official source</x:v>
      </x:c>
      <x:c r="Q30" s="38" t="n">
        <x:v>46295</x:v>
      </x:c>
      <x:c r="R30" s="41" t="n">
        <x:f>ROUND((J30*0.7)+IF(K30="Economic Buyer",1.5,IF(K30="Champion",1.2,IF(K30="Technical Evaluator",1,0.7))),1)</x:f>
        <x:v>4.5</x:v>
      </x:c>
      <x:c r="S30" s="35" t="str">
        <x:f>VLOOKUP(B30,Accounts!$A$6:$C$30,3,FALSE)</x:f>
        <x:v>Pharma</x:v>
      </x:c>
      <x:c r="T30" s="35"/>
      <x:c r="U30" s="35"/>
      <x:c r="V30" s="35"/>
      <x:c r="W30" s="35"/>
      <x:c r="X30" s="35"/>
      <x:c r="Y30" s="35"/>
      <x:c r="Z30" s="35"/>
    </x:row>
    <x:row r="31">
      <x:c r="A31" s="35" t="str">
        <x:v>CON-026</x:v>
      </x:c>
      <x:c r="B31" s="35" t="str">
        <x:v>ACC-003</x:v>
      </x:c>
      <x:c r="C31" s="35" t="str">
        <x:v>Achin Gupta</x:v>
      </x:c>
      <x:c r="D31" s="35" t="str">
        <x:v>Managing Director and Global Chief Executive Officer</x:v>
      </x:c>
      <x:c r="E31" s="35" t="str">
        <x:v>Executive Leadership</x:v>
      </x:c>
      <x:c r="F31" s="35" t="str">
        <x:v>C-suite</x:v>
      </x:c>
      <x:c r="G31" s="35" t="str">
        <x:v>India</x:v>
      </x:c>
      <x:c r="H31" s="35" t="str"/>
      <x:c r="I31" s="35" t="str"/>
      <x:c r="J31" s="35" t="n">
        <x:v>4</x:v>
      </x:c>
      <x:c r="K31" s="35" t="str">
        <x:v>Economic Buyer</x:v>
      </x:c>
      <x:c r="L31" s="35" t="str">
        <x:v>RWE / commercial evidence</x:v>
      </x:c>
      <x:c r="M31" s="35" t="str">
        <x:v>Official company leadership source reviewed; tailor outreach to India evidence, clinical development, medical affairs, or digital-health priorities.</x:v>
      </x:c>
      <x:c r="N31" s="35" t="str">
        <x:v>https://www.cipla.com/node/713474</x:v>
      </x:c>
      <x:c r="O31" s="35" t="str">
        <x:v>Official company leadership page</x:v>
      </x:c>
      <x:c r="P31" s="35" t="str">
        <x:v>Verified - official source</x:v>
      </x:c>
      <x:c r="Q31" s="38" t="n">
        <x:v>46295</x:v>
      </x:c>
      <x:c r="R31" s="41" t="n">
        <x:f>ROUND((J31*0.7)+IF(K31="Economic Buyer",1.5,IF(K31="Champion",1.2,IF(K31="Technical Evaluator",1,0.7))),1)</x:f>
        <x:v>4.3</x:v>
      </x:c>
      <x:c r="S31" s="35" t="str">
        <x:f>VLOOKUP(B31,Accounts!$A$6:$C$30,3,FALSE)</x:f>
        <x:v>Pharma</x:v>
      </x:c>
      <x:c r="T31" s="35"/>
      <x:c r="U31" s="35"/>
      <x:c r="V31" s="35"/>
      <x:c r="W31" s="35"/>
      <x:c r="X31" s="35"/>
      <x:c r="Y31" s="35"/>
      <x:c r="Z31" s="35"/>
    </x:row>
    <x:row r="32">
      <x:c r="A32" s="35" t="str">
        <x:v>CON-027</x:v>
      </x:c>
      <x:c r="B32" s="35" t="str">
        <x:v>ACC-003</x:v>
      </x:c>
      <x:c r="C32" s="35" t="str">
        <x:v>Y K Hamied</x:v>
      </x:c>
      <x:c r="D32" s="35" t="str">
        <x:v>Non-Executive Chairman</x:v>
      </x:c>
      <x:c r="E32" s="35" t="str">
        <x:v>Executive Leadership</x:v>
      </x:c>
      <x:c r="F32" s="35" t="str">
        <x:v>C-suite</x:v>
      </x:c>
      <x:c r="G32" s="35" t="str">
        <x:v>India</x:v>
      </x:c>
      <x:c r="H32" s="35" t="str"/>
      <x:c r="I32" s="35" t="str"/>
      <x:c r="J32" s="35" t="n">
        <x:v>4</x:v>
      </x:c>
      <x:c r="K32" s="35" t="str">
        <x:v>Economic Buyer</x:v>
      </x:c>
      <x:c r="L32" s="35" t="str">
        <x:v>RWE / commercial evidence</x:v>
      </x:c>
      <x:c r="M32" s="35" t="str">
        <x:v>Official company leadership source reviewed; tailor outreach to India evidence, clinical development, medical affairs, or digital-health priorities.</x:v>
      </x:c>
      <x:c r="N32" s="35" t="str">
        <x:v>https://www.cipla.com/node/713474</x:v>
      </x:c>
      <x:c r="O32" s="35" t="str">
        <x:v>Official company leadership page</x:v>
      </x:c>
      <x:c r="P32" s="35" t="str">
        <x:v>Verified - official source</x:v>
      </x:c>
      <x:c r="Q32" s="38" t="n">
        <x:v>46295</x:v>
      </x:c>
      <x:c r="R32" s="41" t="n">
        <x:f>ROUND((J32*0.7)+IF(K32="Economic Buyer",1.5,IF(K32="Champion",1.2,IF(K32="Technical Evaluator",1,0.7))),1)</x:f>
        <x:v>4.3</x:v>
      </x:c>
      <x:c r="S32" s="35" t="str">
        <x:f>VLOOKUP(B32,Accounts!$A$6:$C$30,3,FALSE)</x:f>
        <x:v>Pharma</x:v>
      </x:c>
      <x:c r="T32" s="35"/>
      <x:c r="U32" s="35"/>
      <x:c r="V32" s="35"/>
      <x:c r="W32" s="35"/>
      <x:c r="X32" s="35"/>
      <x:c r="Y32" s="35"/>
      <x:c r="Z32" s="35"/>
    </x:row>
    <x:row r="33">
      <x:c r="A33" s="35" t="str">
        <x:v>CON-028</x:v>
      </x:c>
      <x:c r="B33" s="35" t="str">
        <x:v>ACC-003</x:v>
      </x:c>
      <x:c r="C33" s="35" t="str">
        <x:v>Umang Vohra</x:v>
      </x:c>
      <x:c r="D33" s="35" t="str">
        <x:v>Former MD &amp; Global CEO</x:v>
      </x:c>
      <x:c r="E33" s="35" t="str">
        <x:v>Executive Leadership</x:v>
      </x:c>
      <x:c r="F33" s="35" t="str">
        <x:v>C-suite</x:v>
      </x:c>
      <x:c r="G33" s="35" t="str">
        <x:v>India</x:v>
      </x:c>
      <x:c r="H33" s="35" t="str"/>
      <x:c r="I33" s="35" t="str"/>
      <x:c r="J33" s="35" t="n">
        <x:v>4</x:v>
      </x:c>
      <x:c r="K33" s="35" t="str">
        <x:v>Economic Buyer</x:v>
      </x:c>
      <x:c r="L33" s="35" t="str">
        <x:v>RWE / commercial evidence</x:v>
      </x:c>
      <x:c r="M33" s="35" t="str">
        <x:v>Publicly known leadership record retained for research continuity. Verify current role directly on the company site before outreach.</x:v>
      </x:c>
      <x:c r="N33" s="35" t="str">
        <x:v>https://www.cipla.com/node/713474</x:v>
      </x:c>
      <x:c r="O33" s="35" t="str">
        <x:v>Official company leadership page</x:v>
      </x:c>
      <x:c r="P33" s="35" t="str">
        <x:v>Unverified - recheck official source</x:v>
      </x:c>
      <x:c r="Q33" s="38" t="n">
        <x:v>46295</x:v>
      </x:c>
      <x:c r="R33" s="41" t="n">
        <x:f>ROUND((J33*0.7)+IF(K33="Economic Buyer",1.5,IF(K33="Champion",1.2,IF(K33="Technical Evaluator",1,0.7))),1)</x:f>
        <x:v>4.3</x:v>
      </x:c>
      <x:c r="S33" s="35" t="str">
        <x:f>VLOOKUP(B33,Accounts!$A$6:$C$30,3,FALSE)</x:f>
        <x:v>Pharma</x:v>
      </x:c>
      <x:c r="T33" s="35"/>
      <x:c r="U33" s="35"/>
      <x:c r="V33" s="35"/>
      <x:c r="W33" s="35"/>
      <x:c r="X33" s="35"/>
      <x:c r="Y33" s="35"/>
      <x:c r="Z33" s="35"/>
    </x:row>
    <x:row r="34">
      <x:c r="A34" s="35" t="str">
        <x:v>CON-029</x:v>
      </x:c>
      <x:c r="B34" s="35" t="str">
        <x:v>ACC-003</x:v>
      </x:c>
      <x:c r="C34" s="35" t="str">
        <x:v>Nikhil Chopra</x:v>
      </x:c>
      <x:c r="D34" s="35" t="str">
        <x:v>Chief Executive Officer, India Business</x:v>
      </x:c>
      <x:c r="E34" s="35" t="str">
        <x:v>Commercial / Market Access</x:v>
      </x:c>
      <x:c r="F34" s="35" t="str">
        <x:v>C-suite</x:v>
      </x:c>
      <x:c r="G34" s="35" t="str">
        <x:v>India</x:v>
      </x:c>
      <x:c r="H34" s="35" t="str"/>
      <x:c r="I34" s="35" t="str"/>
      <x:c r="J34" s="35" t="n">
        <x:v>4</x:v>
      </x:c>
      <x:c r="K34" s="35" t="str">
        <x:v>Champion</x:v>
      </x:c>
      <x:c r="L34" s="35" t="str">
        <x:v>RWE / commercial evidence</x:v>
      </x:c>
      <x:c r="M34" s="35" t="str">
        <x:v>Publicly known leadership record retained for research continuity. Verify current role directly on the company site before outreach.</x:v>
      </x:c>
      <x:c r="N34" s="35" t="str">
        <x:v>https://www.cipla.com/node/713474</x:v>
      </x:c>
      <x:c r="O34" s="35" t="str">
        <x:v>Official company leadership page</x:v>
      </x:c>
      <x:c r="P34" s="35" t="str">
        <x:v>Unverified - recheck official source</x:v>
      </x:c>
      <x:c r="Q34" s="38" t="n">
        <x:v>46295</x:v>
      </x:c>
      <x:c r="R34" s="41" t="n">
        <x:f>ROUND((J34*0.7)+IF(K34="Economic Buyer",1.5,IF(K34="Champion",1.2,IF(K34="Technical Evaluator",1,0.7))),1)</x:f>
        <x:v>4</x:v>
      </x:c>
      <x:c r="S34" s="35" t="str">
        <x:f>VLOOKUP(B34,Accounts!$A$6:$C$30,3,FALSE)</x:f>
        <x:v>Pharma</x:v>
      </x:c>
      <x:c r="T34" s="35"/>
      <x:c r="U34" s="35"/>
      <x:c r="V34" s="35"/>
      <x:c r="W34" s="35"/>
      <x:c r="X34" s="35"/>
      <x:c r="Y34" s="35"/>
      <x:c r="Z34" s="35"/>
    </x:row>
    <x:row r="35">
      <x:c r="A35" s="35" t="str">
        <x:v>CON-030</x:v>
      </x:c>
      <x:c r="B35" s="35" t="str">
        <x:v>ACC-003</x:v>
      </x:c>
      <x:c r="C35" s="35" t="str">
        <x:v>Saugata Gupta</x:v>
      </x:c>
      <x:c r="D35" s="35" t="str">
        <x:v>Independent Director</x:v>
      </x:c>
      <x:c r="E35" s="35" t="str">
        <x:v>Executive Leadership</x:v>
      </x:c>
      <x:c r="F35" s="35" t="str">
        <x:v>Director</x:v>
      </x:c>
      <x:c r="G35" s="35" t="str">
        <x:v>India</x:v>
      </x:c>
      <x:c r="H35" s="35" t="str"/>
      <x:c r="I35" s="35" t="str"/>
      <x:c r="J35" s="35" t="n">
        <x:v>4</x:v>
      </x:c>
      <x:c r="K35" s="35" t="str">
        <x:v>Economic Buyer</x:v>
      </x:c>
      <x:c r="L35" s="35" t="str">
        <x:v>RWE / commercial evidence</x:v>
      </x:c>
      <x:c r="M35" s="35" t="str">
        <x:v>Publicly known leadership record retained for research continuity. Verify current role directly on the company site before outreach.</x:v>
      </x:c>
      <x:c r="N35" s="35" t="str">
        <x:v>https://www.cipla.com/node/713474</x:v>
      </x:c>
      <x:c r="O35" s="35" t="str">
        <x:v>Official company leadership page</x:v>
      </x:c>
      <x:c r="P35" s="35" t="str">
        <x:v>Unverified - recheck official source</x:v>
      </x:c>
      <x:c r="Q35" s="38" t="n">
        <x:v>46295</x:v>
      </x:c>
      <x:c r="R35" s="41" t="n">
        <x:f>ROUND((J35*0.7)+IF(K35="Economic Buyer",1.5,IF(K35="Champion",1.2,IF(K35="Technical Evaluator",1,0.7))),1)</x:f>
        <x:v>4.3</x:v>
      </x:c>
      <x:c r="S35" s="35" t="str">
        <x:f>VLOOKUP(B35,Accounts!$A$6:$C$30,3,FALSE)</x:f>
        <x:v>Pharma</x:v>
      </x:c>
      <x:c r="T35" s="35"/>
      <x:c r="U35" s="35"/>
      <x:c r="V35" s="35"/>
      <x:c r="W35" s="35"/>
      <x:c r="X35" s="35"/>
      <x:c r="Y35" s="35"/>
      <x:c r="Z35" s="35"/>
    </x:row>
    <x:row r="36">
      <x:c r="A36" s="35" t="str">
        <x:v>CON-031</x:v>
      </x:c>
      <x:c r="B36" s="35" t="str">
        <x:v>ACC-004</x:v>
      </x:c>
      <x:c r="C36" s="35" t="str">
        <x:v>Shreehas P Tambe</x:v>
      </x:c>
      <x:c r="D36" s="35" t="str">
        <x:v>Chief Executive Officer and Managing Director</x:v>
      </x:c>
      <x:c r="E36" s="35" t="str">
        <x:v>Executive Leadership</x:v>
      </x:c>
      <x:c r="F36" s="35" t="str">
        <x:v>C-suite</x:v>
      </x:c>
      <x:c r="G36" s="35" t="str">
        <x:v>India</x:v>
      </x:c>
      <x:c r="H36" s="35" t="str"/>
      <x:c r="I36" s="35" t="str"/>
      <x:c r="J36" s="35" t="n">
        <x:v>4</x:v>
      </x:c>
      <x:c r="K36" s="35" t="str">
        <x:v>Economic Buyer</x:v>
      </x:c>
      <x:c r="L36" s="35" t="str">
        <x:v>RWE / commercial evidence</x:v>
      </x:c>
      <x:c r="M36" s="35" t="str">
        <x:v>Official company leadership source reviewed; tailor outreach to India evidence, clinical development, medical affairs, or digital-health priorities.</x:v>
      </x:c>
      <x:c r="N36" s="35" t="str">
        <x:v>https://www.biocon.com/about-us/executive-committee/</x:v>
      </x:c>
      <x:c r="O36" s="35" t="str">
        <x:v>Official company leadership page</x:v>
      </x:c>
      <x:c r="P36" s="35" t="str">
        <x:v>Verified - official source</x:v>
      </x:c>
      <x:c r="Q36" s="38" t="n">
        <x:v>46295</x:v>
      </x:c>
      <x:c r="R36" s="41" t="n">
        <x:f>ROUND((J36*0.7)+IF(K36="Economic Buyer",1.5,IF(K36="Champion",1.2,IF(K36="Technical Evaluator",1,0.7))),1)</x:f>
        <x:v>4.3</x:v>
      </x:c>
      <x:c r="S36" s="35" t="str">
        <x:f>VLOOKUP(B36,Accounts!$A$6:$C$30,3,FALSE)</x:f>
        <x:v>Biotech</x:v>
      </x:c>
      <x:c r="T36" s="35"/>
      <x:c r="U36" s="35"/>
      <x:c r="V36" s="35"/>
      <x:c r="W36" s="35"/>
      <x:c r="X36" s="35"/>
      <x:c r="Y36" s="35"/>
      <x:c r="Z36" s="35"/>
    </x:row>
    <x:row r="37">
      <x:c r="A37" s="35" t="str">
        <x:v>CON-032</x:v>
      </x:c>
      <x:c r="B37" s="35" t="str">
        <x:v>ACC-004</x:v>
      </x:c>
      <x:c r="C37" s="35" t="str">
        <x:v>Anuj Goel</x:v>
      </x:c>
      <x:c r="D37" s="35" t="str">
        <x:v>Chief Development Officer</x:v>
      </x:c>
      <x:c r="E37" s="35" t="str">
        <x:v>R&amp;D / Clinical Development</x:v>
      </x:c>
      <x:c r="F37" s="35" t="str">
        <x:v>C-suite</x:v>
      </x:c>
      <x:c r="G37" s="35" t="str">
        <x:v>India</x:v>
      </x:c>
      <x:c r="H37" s="35" t="str"/>
      <x:c r="I37" s="35" t="str"/>
      <x:c r="J37" s="35" t="n">
        <x:v>5</x:v>
      </x:c>
      <x:c r="K37" s="35" t="str">
        <x:v>Technical Evaluator</x:v>
      </x:c>
      <x:c r="L37" s="35" t="str">
        <x:v>Clinical trials / imaging biomarkers</x:v>
      </x:c>
      <x:c r="M37" s="35" t="str">
        <x:v>Official company leadership source reviewed; tailor outreach to India evidence, clinical development, medical affairs, or digital-health priorities.</x:v>
      </x:c>
      <x:c r="N37" s="35" t="str">
        <x:v>https://www.biocon.com/about-us/executive-committee/</x:v>
      </x:c>
      <x:c r="O37" s="35" t="str">
        <x:v>Official company leadership page</x:v>
      </x:c>
      <x:c r="P37" s="35" t="str">
        <x:v>Verified - official source</x:v>
      </x:c>
      <x:c r="Q37" s="38" t="n">
        <x:v>46295</x:v>
      </x:c>
      <x:c r="R37" s="41" t="n">
        <x:f>ROUND((J37*0.7)+IF(K37="Economic Buyer",1.5,IF(K37="Champion",1.2,IF(K37="Technical Evaluator",1,0.7))),1)</x:f>
        <x:v>4.5</x:v>
      </x:c>
      <x:c r="S37" s="35" t="str">
        <x:f>VLOOKUP(B37,Accounts!$A$6:$C$30,3,FALSE)</x:f>
        <x:v>Biotech</x:v>
      </x:c>
      <x:c r="T37" s="35"/>
      <x:c r="U37" s="35"/>
      <x:c r="V37" s="35"/>
      <x:c r="W37" s="35"/>
      <x:c r="X37" s="35"/>
      <x:c r="Y37" s="35"/>
      <x:c r="Z37" s="35"/>
    </x:row>
    <x:row r="38">
      <x:c r="A38" s="35" t="str">
        <x:v>CON-033</x:v>
      </x:c>
      <x:c r="B38" s="35" t="str">
        <x:v>ACC-004</x:v>
      </x:c>
      <x:c r="C38" s="35" t="str">
        <x:v>Kedar Upadhye</x:v>
      </x:c>
      <x:c r="D38" s="35" t="str">
        <x:v>Chief Financial Officer</x:v>
      </x:c>
      <x:c r="E38" s="35" t="str">
        <x:v>Executive Leadership</x:v>
      </x:c>
      <x:c r="F38" s="35" t="str">
        <x:v>C-suite</x:v>
      </x:c>
      <x:c r="G38" s="35" t="str">
        <x:v>India</x:v>
      </x:c>
      <x:c r="H38" s="35" t="str"/>
      <x:c r="I38" s="35" t="str"/>
      <x:c r="J38" s="35" t="n">
        <x:v>4</x:v>
      </x:c>
      <x:c r="K38" s="35" t="str">
        <x:v>Economic Buyer</x:v>
      </x:c>
      <x:c r="L38" s="35" t="str">
        <x:v>RWE / commercial evidence</x:v>
      </x:c>
      <x:c r="M38" s="35" t="str">
        <x:v>Official company leadership source reviewed; tailor outreach to India evidence, clinical development, medical affairs, or digital-health priorities.</x:v>
      </x:c>
      <x:c r="N38" s="35" t="str">
        <x:v>https://www.biocon.com/about-us/executive-committee/</x:v>
      </x:c>
      <x:c r="O38" s="35" t="str">
        <x:v>Official company leadership page</x:v>
      </x:c>
      <x:c r="P38" s="35" t="str">
        <x:v>Verified - official source</x:v>
      </x:c>
      <x:c r="Q38" s="38" t="n">
        <x:v>46295</x:v>
      </x:c>
      <x:c r="R38" s="41" t="n">
        <x:f>ROUND((J38*0.7)+IF(K38="Economic Buyer",1.5,IF(K38="Champion",1.2,IF(K38="Technical Evaluator",1,0.7))),1)</x:f>
        <x:v>4.3</x:v>
      </x:c>
      <x:c r="S38" s="35" t="str">
        <x:f>VLOOKUP(B38,Accounts!$A$6:$C$30,3,FALSE)</x:f>
        <x:v>Biotech</x:v>
      </x:c>
      <x:c r="T38" s="35"/>
      <x:c r="U38" s="35"/>
      <x:c r="V38" s="35"/>
      <x:c r="W38" s="35"/>
      <x:c r="X38" s="35"/>
      <x:c r="Y38" s="35"/>
      <x:c r="Z38" s="35"/>
    </x:row>
    <x:row r="39">
      <x:c r="A39" s="35" t="str">
        <x:v>CON-034</x:v>
      </x:c>
      <x:c r="B39" s="35" t="str">
        <x:v>ACC-004</x:v>
      </x:c>
      <x:c r="C39" s="35" t="str">
        <x:v>Mandar S Ghatnekar</x:v>
      </x:c>
      <x:c r="D39" s="35" t="str">
        <x:v>Chief Technology Officer</x:v>
      </x:c>
      <x:c r="E39" s="35" t="str">
        <x:v>Digital / Data / AI</x:v>
      </x:c>
      <x:c r="F39" s="35" t="str">
        <x:v>C-suite</x:v>
      </x:c>
      <x:c r="G39" s="35" t="str">
        <x:v>India</x:v>
      </x:c>
      <x:c r="H39" s="35" t="str"/>
      <x:c r="I39" s="35" t="str"/>
      <x:c r="J39" s="35" t="n">
        <x:v>5</x:v>
      </x:c>
      <x:c r="K39" s="35" t="str">
        <x:v>Technical Evaluator</x:v>
      </x:c>
      <x:c r="L39" s="35" t="str">
        <x:v>Digital health / AI platform</x:v>
      </x:c>
      <x:c r="M39" s="35" t="str">
        <x:v>Official company leadership source reviewed; tailor outreach to India evidence, clinical development, medical affairs, or digital-health priorities.</x:v>
      </x:c>
      <x:c r="N39" s="35" t="str">
        <x:v>https://www.biocon.com/about-us/executive-committee/</x:v>
      </x:c>
      <x:c r="O39" s="35" t="str">
        <x:v>Official company leadership page</x:v>
      </x:c>
      <x:c r="P39" s="35" t="str">
        <x:v>Verified - official source</x:v>
      </x:c>
      <x:c r="Q39" s="38" t="n">
        <x:v>46295</x:v>
      </x:c>
      <x:c r="R39" s="41" t="n">
        <x:f>ROUND((J39*0.7)+IF(K39="Economic Buyer",1.5,IF(K39="Champion",1.2,IF(K39="Technical Evaluator",1,0.7))),1)</x:f>
        <x:v>4.5</x:v>
      </x:c>
      <x:c r="S39" s="35" t="str">
        <x:f>VLOOKUP(B39,Accounts!$A$6:$C$30,3,FALSE)</x:f>
        <x:v>Biotech</x:v>
      </x:c>
      <x:c r="T39" s="35"/>
      <x:c r="U39" s="35"/>
      <x:c r="V39" s="35"/>
      <x:c r="W39" s="35"/>
      <x:c r="X39" s="35"/>
      <x:c r="Y39" s="35"/>
      <x:c r="Z39" s="35"/>
    </x:row>
    <x:row r="40">
      <x:c r="A40" s="35" t="str">
        <x:v>CON-035</x:v>
      </x:c>
      <x:c r="B40" s="35" t="str">
        <x:v>ACC-004</x:v>
      </x:c>
      <x:c r="C40" s="35" t="str">
        <x:v>Matthew Erick</x:v>
      </x:c>
      <x:c r="D40" s="35" t="str">
        <x:v>Chief Commercial Officer – Advanced Markets</x:v>
      </x:c>
      <x:c r="E40" s="35" t="str">
        <x:v>Commercial / Market Access</x:v>
      </x:c>
      <x:c r="F40" s="35" t="str">
        <x:v>C-suite</x:v>
      </x:c>
      <x:c r="G40" s="35" t="str">
        <x:v>India</x:v>
      </x:c>
      <x:c r="H40" s="35" t="str"/>
      <x:c r="I40" s="35" t="str"/>
      <x:c r="J40" s="35" t="n">
        <x:v>4</x:v>
      </x:c>
      <x:c r="K40" s="35" t="str">
        <x:v>Champion</x:v>
      </x:c>
      <x:c r="L40" s="35" t="str">
        <x:v>RWE / commercial evidence</x:v>
      </x:c>
      <x:c r="M40" s="35" t="str">
        <x:v>Official company leadership source reviewed; tailor outreach to India evidence, clinical development, medical affairs, or digital-health priorities.</x:v>
      </x:c>
      <x:c r="N40" s="35" t="str">
        <x:v>https://www.biocon.com/about-us/executive-committee/</x:v>
      </x:c>
      <x:c r="O40" s="35" t="str">
        <x:v>Official company leadership page</x:v>
      </x:c>
      <x:c r="P40" s="35" t="str">
        <x:v>Verified - official source</x:v>
      </x:c>
      <x:c r="Q40" s="38" t="n">
        <x:v>46295</x:v>
      </x:c>
      <x:c r="R40" s="41" t="n">
        <x:f>ROUND((J40*0.7)+IF(K40="Economic Buyer",1.5,IF(K40="Champion",1.2,IF(K40="Technical Evaluator",1,0.7))),1)</x:f>
        <x:v>4</x:v>
      </x:c>
      <x:c r="S40" s="35" t="str">
        <x:f>VLOOKUP(B40,Accounts!$A$6:$C$30,3,FALSE)</x:f>
        <x:v>Biotech</x:v>
      </x:c>
      <x:c r="T40" s="35"/>
      <x:c r="U40" s="35"/>
      <x:c r="V40" s="35"/>
      <x:c r="W40" s="35"/>
      <x:c r="X40" s="35"/>
      <x:c r="Y40" s="35"/>
      <x:c r="Z40" s="35"/>
    </x:row>
    <x:row r="41">
      <x:c r="A41" s="35" t="str">
        <x:v>CON-036</x:v>
      </x:c>
      <x:c r="B41" s="35" t="str">
        <x:v>ACC-004</x:v>
      </x:c>
      <x:c r="C41" s="35" t="str">
        <x:v>Naveen Narayanan</x:v>
      </x:c>
      <x:c r="D41" s="35" t="str">
        <x:v>Chief Human Resources Officer</x:v>
      </x:c>
      <x:c r="E41" s="35" t="str">
        <x:v>Executive Leadership</x:v>
      </x:c>
      <x:c r="F41" s="35" t="str">
        <x:v>C-suite</x:v>
      </x:c>
      <x:c r="G41" s="35" t="str">
        <x:v>India</x:v>
      </x:c>
      <x:c r="H41" s="35" t="str"/>
      <x:c r="I41" s="35" t="str"/>
      <x:c r="J41" s="35" t="n">
        <x:v>4</x:v>
      </x:c>
      <x:c r="K41" s="35" t="str">
        <x:v>Economic Buyer</x:v>
      </x:c>
      <x:c r="L41" s="35" t="str">
        <x:v>RWE / commercial evidence</x:v>
      </x:c>
      <x:c r="M41" s="35" t="str">
        <x:v>Official company leadership source reviewed; tailor outreach to India evidence, clinical development, medical affairs, or digital-health priorities.</x:v>
      </x:c>
      <x:c r="N41" s="35" t="str">
        <x:v>https://www.biocon.com/about-us/executive-committee/</x:v>
      </x:c>
      <x:c r="O41" s="35" t="str">
        <x:v>Official company leadership page</x:v>
      </x:c>
      <x:c r="P41" s="35" t="str">
        <x:v>Verified - official source</x:v>
      </x:c>
      <x:c r="Q41" s="38" t="n">
        <x:v>46295</x:v>
      </x:c>
      <x:c r="R41" s="41" t="n">
        <x:f>ROUND((J41*0.7)+IF(K41="Economic Buyer",1.5,IF(K41="Champion",1.2,IF(K41="Technical Evaluator",1,0.7))),1)</x:f>
        <x:v>4.3</x:v>
      </x:c>
      <x:c r="S41" s="35" t="str">
        <x:f>VLOOKUP(B41,Accounts!$A$6:$C$30,3,FALSE)</x:f>
        <x:v>Biotech</x:v>
      </x:c>
      <x:c r="T41" s="35"/>
      <x:c r="U41" s="35"/>
      <x:c r="V41" s="35"/>
      <x:c r="W41" s="35"/>
      <x:c r="X41" s="35"/>
      <x:c r="Y41" s="35"/>
      <x:c r="Z41" s="35"/>
    </x:row>
    <x:row r="42">
      <x:c r="A42" s="35" t="str">
        <x:v>CON-037</x:v>
      </x:c>
      <x:c r="B42" s="35" t="str">
        <x:v>ACC-004</x:v>
      </x:c>
      <x:c r="C42" s="35" t="str">
        <x:v>Rhonda Duffy</x:v>
      </x:c>
      <x:c r="D42" s="35" t="str">
        <x:v>Chief Operations Officer</x:v>
      </x:c>
      <x:c r="E42" s="35" t="str">
        <x:v>Operations / Supply</x:v>
      </x:c>
      <x:c r="F42" s="35" t="str">
        <x:v>C-suite</x:v>
      </x:c>
      <x:c r="G42" s="35" t="str">
        <x:v>India</x:v>
      </x:c>
      <x:c r="H42" s="35" t="str"/>
      <x:c r="I42" s="35" t="str"/>
      <x:c r="J42" s="35" t="n">
        <x:v>4</x:v>
      </x:c>
      <x:c r="K42" s="35" t="str">
        <x:v>Champion</x:v>
      </x:c>
      <x:c r="L42" s="35" t="str">
        <x:v>RWE / commercial evidence</x:v>
      </x:c>
      <x:c r="M42" s="35" t="str">
        <x:v>Official company leadership source reviewed; tailor outreach to India evidence, clinical development, medical affairs, or digital-health priorities.</x:v>
      </x:c>
      <x:c r="N42" s="35" t="str">
        <x:v>https://www.biocon.com/about-us/executive-committee/</x:v>
      </x:c>
      <x:c r="O42" s="35" t="str">
        <x:v>Official company leadership page</x:v>
      </x:c>
      <x:c r="P42" s="35" t="str">
        <x:v>Verified - official source</x:v>
      </x:c>
      <x:c r="Q42" s="38" t="n">
        <x:v>46295</x:v>
      </x:c>
      <x:c r="R42" s="41" t="n">
        <x:f>ROUND((J42*0.7)+IF(K42="Economic Buyer",1.5,IF(K42="Champion",1.2,IF(K42="Technical Evaluator",1,0.7))),1)</x:f>
        <x:v>4</x:v>
      </x:c>
      <x:c r="S42" s="35" t="str">
        <x:f>VLOOKUP(B42,Accounts!$A$6:$C$30,3,FALSE)</x:f>
        <x:v>Biotech</x:v>
      </x:c>
      <x:c r="T42" s="35"/>
      <x:c r="U42" s="35"/>
      <x:c r="V42" s="35"/>
      <x:c r="W42" s="35"/>
      <x:c r="X42" s="35"/>
      <x:c r="Y42" s="35"/>
      <x:c r="Z42" s="35"/>
    </x:row>
    <x:row r="43">
      <x:c r="A43" s="35" t="str">
        <x:v>CON-038</x:v>
      </x:c>
      <x:c r="B43" s="35" t="str">
        <x:v>ACC-004</x:v>
      </x:c>
      <x:c r="C43" s="35" t="str">
        <x:v>Susheel Umesh</x:v>
      </x:c>
      <x:c r="D43" s="35" t="str">
        <x:v>Chief Commercial Officer – Emerging Markets and Head of Global API &amp; Global BD</x:v>
      </x:c>
      <x:c r="E43" s="35" t="str">
        <x:v>Corporate Development</x:v>
      </x:c>
      <x:c r="F43" s="35" t="str">
        <x:v>C-suite</x:v>
      </x:c>
      <x:c r="G43" s="35" t="str">
        <x:v>India</x:v>
      </x:c>
      <x:c r="H43" s="35" t="str"/>
      <x:c r="I43" s="35" t="str"/>
      <x:c r="J43" s="35" t="n">
        <x:v>4</x:v>
      </x:c>
      <x:c r="K43" s="35" t="str">
        <x:v>Champion</x:v>
      </x:c>
      <x:c r="L43" s="35" t="str">
        <x:v>RWE / commercial evidence</x:v>
      </x:c>
      <x:c r="M43" s="35" t="str">
        <x:v>Official company leadership source reviewed; tailor outreach to India evidence, clinical development, medical affairs, or digital-health priorities.</x:v>
      </x:c>
      <x:c r="N43" s="35" t="str">
        <x:v>https://www.biocon.com/about-us/executive-committee/</x:v>
      </x:c>
      <x:c r="O43" s="35" t="str">
        <x:v>Official company leadership page</x:v>
      </x:c>
      <x:c r="P43" s="35" t="str">
        <x:v>Verified - official source</x:v>
      </x:c>
      <x:c r="Q43" s="38" t="n">
        <x:v>46295</x:v>
      </x:c>
      <x:c r="R43" s="41" t="n">
        <x:f>ROUND((J43*0.7)+IF(K43="Economic Buyer",1.5,IF(K43="Champion",1.2,IF(K43="Technical Evaluator",1,0.7))),1)</x:f>
        <x:v>4</x:v>
      </x:c>
      <x:c r="S43" s="35" t="str">
        <x:f>VLOOKUP(B43,Accounts!$A$6:$C$30,3,FALSE)</x:f>
        <x:v>Biotech</x:v>
      </x:c>
      <x:c r="T43" s="35"/>
      <x:c r="U43" s="35"/>
      <x:c r="V43" s="35"/>
      <x:c r="W43" s="35"/>
      <x:c r="X43" s="35"/>
      <x:c r="Y43" s="35"/>
      <x:c r="Z43" s="35"/>
    </x:row>
    <x:row r="44">
      <x:c r="A44" s="35" t="str">
        <x:v>CON-039</x:v>
      </x:c>
      <x:c r="B44" s="35" t="str">
        <x:v>ACC-004</x:v>
      </x:c>
      <x:c r="C44" s="35" t="str">
        <x:v>Akhilesh Nand</x:v>
      </x:c>
      <x:c r="D44" s="35" t="str">
        <x:v>Global Head – Governance, Risk, Compliance</x:v>
      </x:c>
      <x:c r="E44" s="35" t="str">
        <x:v>Executive Leadership</x:v>
      </x:c>
      <x:c r="F44" s="35" t="str">
        <x:v>Director</x:v>
      </x:c>
      <x:c r="G44" s="35" t="str">
        <x:v>India</x:v>
      </x:c>
      <x:c r="H44" s="35" t="str"/>
      <x:c r="I44" s="35" t="str"/>
      <x:c r="J44" s="35" t="n">
        <x:v>4</x:v>
      </x:c>
      <x:c r="K44" s="35" t="str">
        <x:v>Economic Buyer</x:v>
      </x:c>
      <x:c r="L44" s="35" t="str">
        <x:v>RWE / commercial evidence</x:v>
      </x:c>
      <x:c r="M44" s="35" t="str">
        <x:v>Official company leadership source reviewed; tailor outreach to India evidence, clinical development, medical affairs, or digital-health priorities.</x:v>
      </x:c>
      <x:c r="N44" s="35" t="str">
        <x:v>https://www.biocon.com/about-us/executive-committee/</x:v>
      </x:c>
      <x:c r="O44" s="35" t="str">
        <x:v>Official company leadership page</x:v>
      </x:c>
      <x:c r="P44" s="35" t="str">
        <x:v>Verified - official source</x:v>
      </x:c>
      <x:c r="Q44" s="38" t="n">
        <x:v>46295</x:v>
      </x:c>
      <x:c r="R44" s="41" t="n">
        <x:f>ROUND((J44*0.7)+IF(K44="Economic Buyer",1.5,IF(K44="Champion",1.2,IF(K44="Technical Evaluator",1,0.7))),1)</x:f>
        <x:v>4.3</x:v>
      </x:c>
      <x:c r="S44" s="35" t="str">
        <x:f>VLOOKUP(B44,Accounts!$A$6:$C$30,3,FALSE)</x:f>
        <x:v>Biotech</x:v>
      </x:c>
      <x:c r="T44" s="35"/>
      <x:c r="U44" s="35"/>
      <x:c r="V44" s="35"/>
      <x:c r="W44" s="35"/>
      <x:c r="X44" s="35"/>
      <x:c r="Y44" s="35"/>
      <x:c r="Z44" s="35"/>
    </x:row>
    <x:row r="45">
      <x:c r="A45" s="35" t="str">
        <x:v>CON-040</x:v>
      </x:c>
      <x:c r="B45" s="35" t="str">
        <x:v>ACC-004</x:v>
      </x:c>
      <x:c r="C45" s="35" t="str">
        <x:v>Deepali Naair</x:v>
      </x:c>
      <x:c r="D45" s="35" t="str">
        <x:v>Global Head of Brand, Marketing &amp; Corporate Communications</x:v>
      </x:c>
      <x:c r="E45" s="35" t="str">
        <x:v>Commercial / Market Access</x:v>
      </x:c>
      <x:c r="F45" s="35" t="str">
        <x:v>Director</x:v>
      </x:c>
      <x:c r="G45" s="35" t="str">
        <x:v>India</x:v>
      </x:c>
      <x:c r="H45" s="35" t="str"/>
      <x:c r="I45" s="35" t="str"/>
      <x:c r="J45" s="35" t="n">
        <x:v>4</x:v>
      </x:c>
      <x:c r="K45" s="35" t="str">
        <x:v>Champion</x:v>
      </x:c>
      <x:c r="L45" s="35" t="str">
        <x:v>RWE / commercial evidence</x:v>
      </x:c>
      <x:c r="M45" s="35" t="str">
        <x:v>Official company leadership source reviewed; tailor outreach to India evidence, clinical development, medical affairs, or digital-health priorities.</x:v>
      </x:c>
      <x:c r="N45" s="35" t="str">
        <x:v>https://www.biocon.com/about-us/executive-committee/</x:v>
      </x:c>
      <x:c r="O45" s="35" t="str">
        <x:v>Official company leadership page</x:v>
      </x:c>
      <x:c r="P45" s="35" t="str">
        <x:v>Verified - official source</x:v>
      </x:c>
      <x:c r="Q45" s="38" t="n">
        <x:v>46295</x:v>
      </x:c>
      <x:c r="R45" s="41" t="n">
        <x:f>ROUND((J45*0.7)+IF(K45="Economic Buyer",1.5,IF(K45="Champion",1.2,IF(K45="Technical Evaluator",1,0.7))),1)</x:f>
        <x:v>4</x:v>
      </x:c>
      <x:c r="S45" s="35" t="str">
        <x:f>VLOOKUP(B45,Accounts!$A$6:$C$30,3,FALSE)</x:f>
        <x:v>Biotech</x:v>
      </x:c>
      <x:c r="T45" s="35"/>
      <x:c r="U45" s="35"/>
      <x:c r="V45" s="35"/>
      <x:c r="W45" s="35"/>
      <x:c r="X45" s="35"/>
      <x:c r="Y45" s="35"/>
      <x:c r="Z45" s="35"/>
    </x:row>
    <x:row r="46">
      <x:c r="A46" s="35" t="str">
        <x:v>CON-041</x:v>
      </x:c>
      <x:c r="B46" s="35" t="str">
        <x:v>ACC-004</x:v>
      </x:c>
      <x:c r="C46" s="35" t="str">
        <x:v>Kathleen Blanchard</x:v>
      </x:c>
      <x:c r="D46" s="35" t="str">
        <x:v>Global General Counsel</x:v>
      </x:c>
      <x:c r="E46" s="35" t="str">
        <x:v>Executive Leadership</x:v>
      </x:c>
      <x:c r="F46" s="35" t="str">
        <x:v>Director</x:v>
      </x:c>
      <x:c r="G46" s="35" t="str">
        <x:v>India</x:v>
      </x:c>
      <x:c r="H46" s="35" t="str"/>
      <x:c r="I46" s="35" t="str"/>
      <x:c r="J46" s="35" t="n">
        <x:v>4</x:v>
      </x:c>
      <x:c r="K46" s="35" t="str">
        <x:v>Economic Buyer</x:v>
      </x:c>
      <x:c r="L46" s="35" t="str">
        <x:v>RWE / commercial evidence</x:v>
      </x:c>
      <x:c r="M46" s="35" t="str">
        <x:v>Official company leadership source reviewed; tailor outreach to India evidence, clinical development, medical affairs, or digital-health priorities.</x:v>
      </x:c>
      <x:c r="N46" s="35" t="str">
        <x:v>https://www.biocon.com/about-us/executive-committee/</x:v>
      </x:c>
      <x:c r="O46" s="35" t="str">
        <x:v>Official company leadership page</x:v>
      </x:c>
      <x:c r="P46" s="35" t="str">
        <x:v>Verified - official source</x:v>
      </x:c>
      <x:c r="Q46" s="38" t="n">
        <x:v>46295</x:v>
      </x:c>
      <x:c r="R46" s="41" t="n">
        <x:f>ROUND((J46*0.7)+IF(K46="Economic Buyer",1.5,IF(K46="Champion",1.2,IF(K46="Technical Evaluator",1,0.7))),1)</x:f>
        <x:v>4.3</x:v>
      </x:c>
      <x:c r="S46" s="35" t="str">
        <x:f>VLOOKUP(B46,Accounts!$A$6:$C$30,3,FALSE)</x:f>
        <x:v>Biotech</x:v>
      </x:c>
      <x:c r="T46" s="35"/>
      <x:c r="U46" s="35"/>
      <x:c r="V46" s="35"/>
      <x:c r="W46" s="35"/>
      <x:c r="X46" s="35"/>
      <x:c r="Y46" s="35"/>
      <x:c r="Z46" s="35"/>
    </x:row>
    <x:row r="47">
      <x:c r="A47" s="35" t="str">
        <x:v>CON-042</x:v>
      </x:c>
      <x:c r="B47" s="35" t="str">
        <x:v>ACC-004</x:v>
      </x:c>
      <x:c r="C47" s="35" t="str">
        <x:v>Kiran Mazumdar-Shaw</x:v>
      </x:c>
      <x:c r="D47" s="35" t="str">
        <x:v>Executive Chairperson</x:v>
      </x:c>
      <x:c r="E47" s="35" t="str">
        <x:v>Executive Leadership</x:v>
      </x:c>
      <x:c r="F47" s="35" t="str">
        <x:v>EVP/SVP</x:v>
      </x:c>
      <x:c r="G47" s="35" t="str">
        <x:v>India</x:v>
      </x:c>
      <x:c r="H47" s="35" t="str"/>
      <x:c r="I47" s="35" t="str"/>
      <x:c r="J47" s="35" t="n">
        <x:v>4</x:v>
      </x:c>
      <x:c r="K47" s="35" t="str">
        <x:v>Economic Buyer</x:v>
      </x:c>
      <x:c r="L47" s="35" t="str">
        <x:v>RWE / commercial evidence</x:v>
      </x:c>
      <x:c r="M47" s="35" t="str">
        <x:v>Official company leadership source reviewed; tailor outreach to India evidence, clinical development, medical affairs, or digital-health priorities.</x:v>
      </x:c>
      <x:c r="N47" s="35" t="str">
        <x:v>https://www.biocon.com/about-us/executive-committee/</x:v>
      </x:c>
      <x:c r="O47" s="35" t="str">
        <x:v>Official company leadership page</x:v>
      </x:c>
      <x:c r="P47" s="35" t="str">
        <x:v>Verified - official source</x:v>
      </x:c>
      <x:c r="Q47" s="38" t="n">
        <x:v>46295</x:v>
      </x:c>
      <x:c r="R47" s="41" t="n">
        <x:f>ROUND((J47*0.7)+IF(K47="Economic Buyer",1.5,IF(K47="Champion",1.2,IF(K47="Technical Evaluator",1,0.7))),1)</x:f>
        <x:v>4.3</x:v>
      </x:c>
      <x:c r="S47" s="35" t="str">
        <x:f>VLOOKUP(B47,Accounts!$A$6:$C$30,3,FALSE)</x:f>
        <x:v>Biotech</x:v>
      </x:c>
      <x:c r="T47" s="35"/>
      <x:c r="U47" s="35"/>
      <x:c r="V47" s="35"/>
      <x:c r="W47" s="35"/>
      <x:c r="X47" s="35"/>
      <x:c r="Y47" s="35"/>
      <x:c r="Z47" s="35"/>
    </x:row>
    <x:row r="48">
      <x:c r="A48" s="35" t="str">
        <x:v>CON-043</x:v>
      </x:c>
      <x:c r="B48" s="35" t="str">
        <x:v>ACC-005</x:v>
      </x:c>
      <x:c r="C48" s="35" t="str">
        <x:v>Manju D Gupta</x:v>
      </x:c>
      <x:c r="D48" s="35" t="str">
        <x:v>Chairperson (Non-Executive)</x:v>
      </x:c>
      <x:c r="E48" s="35" t="str">
        <x:v>Executive Leadership</x:v>
      </x:c>
      <x:c r="F48" s="35" t="str">
        <x:v>EVP/SVP</x:v>
      </x:c>
      <x:c r="G48" s="35" t="str">
        <x:v>India</x:v>
      </x:c>
      <x:c r="H48" s="35" t="str"/>
      <x:c r="I48" s="35" t="str"/>
      <x:c r="J48" s="35" t="n">
        <x:v>4</x:v>
      </x:c>
      <x:c r="K48" s="35" t="str">
        <x:v>Economic Buyer</x:v>
      </x:c>
      <x:c r="L48" s="35" t="str">
        <x:v>RWE / commercial evidence</x:v>
      </x:c>
      <x:c r="M48" s="35" t="str">
        <x:v>Official company leadership source reviewed; tailor outreach to India evidence, clinical development, medical affairs, or digital-health priorities.</x:v>
      </x:c>
      <x:c r="N48" s="35" t="str">
        <x:v>https://lupin.com/about-us/leadership</x:v>
      </x:c>
      <x:c r="O48" s="35" t="str">
        <x:v>Official company leadership page</x:v>
      </x:c>
      <x:c r="P48" s="35" t="str">
        <x:v>Verified - official source</x:v>
      </x:c>
      <x:c r="Q48" s="38" t="n">
        <x:v>46295</x:v>
      </x:c>
      <x:c r="R48" s="41" t="n">
        <x:f>ROUND((J48*0.7)+IF(K48="Economic Buyer",1.5,IF(K48="Champion",1.2,IF(K48="Technical Evaluator",1,0.7))),1)</x:f>
        <x:v>4.3</x:v>
      </x:c>
      <x:c r="S48" s="35" t="str">
        <x:f>VLOOKUP(B48,Accounts!$A$6:$C$30,3,FALSE)</x:f>
        <x:v>Pharma</x:v>
      </x:c>
      <x:c r="T48" s="35"/>
      <x:c r="U48" s="35"/>
      <x:c r="V48" s="35"/>
      <x:c r="W48" s="35"/>
      <x:c r="X48" s="35"/>
      <x:c r="Y48" s="35"/>
      <x:c r="Z48" s="35"/>
    </x:row>
    <x:row r="49">
      <x:c r="A49" s="35" t="str">
        <x:v>CON-044</x:v>
      </x:c>
      <x:c r="B49" s="35" t="str">
        <x:v>ACC-005</x:v>
      </x:c>
      <x:c r="C49" s="35" t="str">
        <x:v>Vinita Gupta</x:v>
      </x:c>
      <x:c r="D49" s="35" t="str">
        <x:v>Chief Executive Officer</x:v>
      </x:c>
      <x:c r="E49" s="35" t="str">
        <x:v>Executive Leadership</x:v>
      </x:c>
      <x:c r="F49" s="35" t="str">
        <x:v>C-suite</x:v>
      </x:c>
      <x:c r="G49" s="35" t="str">
        <x:v>India</x:v>
      </x:c>
      <x:c r="H49" s="35" t="str"/>
      <x:c r="I49" s="35" t="str"/>
      <x:c r="J49" s="35" t="n">
        <x:v>4</x:v>
      </x:c>
      <x:c r="K49" s="35" t="str">
        <x:v>Economic Buyer</x:v>
      </x:c>
      <x:c r="L49" s="35" t="str">
        <x:v>RWE / commercial evidence</x:v>
      </x:c>
      <x:c r="M49" s="35" t="str">
        <x:v>Official company leadership source reviewed; tailor outreach to India evidence, clinical development, medical affairs, or digital-health priorities.</x:v>
      </x:c>
      <x:c r="N49" s="35" t="str">
        <x:v>https://lupin.com/about-us/leadership</x:v>
      </x:c>
      <x:c r="O49" s="35" t="str">
        <x:v>Official company leadership page</x:v>
      </x:c>
      <x:c r="P49" s="35" t="str">
        <x:v>Verified - official source</x:v>
      </x:c>
      <x:c r="Q49" s="38" t="n">
        <x:v>46295</x:v>
      </x:c>
      <x:c r="R49" s="41" t="n">
        <x:f>ROUND((J49*0.7)+IF(K49="Economic Buyer",1.5,IF(K49="Champion",1.2,IF(K49="Technical Evaluator",1,0.7))),1)</x:f>
        <x:v>4.3</x:v>
      </x:c>
      <x:c r="S49" s="35" t="str">
        <x:f>VLOOKUP(B49,Accounts!$A$6:$C$30,3,FALSE)</x:f>
        <x:v>Pharma</x:v>
      </x:c>
      <x:c r="T49" s="35"/>
      <x:c r="U49" s="35"/>
      <x:c r="V49" s="35"/>
      <x:c r="W49" s="35"/>
      <x:c r="X49" s="35"/>
      <x:c r="Y49" s="35"/>
      <x:c r="Z49" s="35"/>
    </x:row>
    <x:row r="50">
      <x:c r="A50" s="35" t="str">
        <x:v>CON-045</x:v>
      </x:c>
      <x:c r="B50" s="35" t="str">
        <x:v>ACC-005</x:v>
      </x:c>
      <x:c r="C50" s="35" t="str">
        <x:v>Nilesh D Gupta</x:v>
      </x:c>
      <x:c r="D50" s="35" t="str">
        <x:v>Managing Director</x:v>
      </x:c>
      <x:c r="E50" s="35" t="str">
        <x:v>Executive Leadership</x:v>
      </x:c>
      <x:c r="F50" s="35" t="str">
        <x:v>C-suite</x:v>
      </x:c>
      <x:c r="G50" s="35" t="str">
        <x:v>India</x:v>
      </x:c>
      <x:c r="H50" s="35" t="str"/>
      <x:c r="I50" s="35" t="str"/>
      <x:c r="J50" s="35" t="n">
        <x:v>4</x:v>
      </x:c>
      <x:c r="K50" s="35" t="str">
        <x:v>Economic Buyer</x:v>
      </x:c>
      <x:c r="L50" s="35" t="str">
        <x:v>RWE / commercial evidence</x:v>
      </x:c>
      <x:c r="M50" s="35" t="str">
        <x:v>Official company leadership source reviewed; tailor outreach to India evidence, clinical development, medical affairs, or digital-health priorities.</x:v>
      </x:c>
      <x:c r="N50" s="35" t="str">
        <x:v>https://lupin.com/about-us/leadership</x:v>
      </x:c>
      <x:c r="O50" s="35" t="str">
        <x:v>Official company leadership page</x:v>
      </x:c>
      <x:c r="P50" s="35" t="str">
        <x:v>Verified - official source</x:v>
      </x:c>
      <x:c r="Q50" s="38" t="n">
        <x:v>46295</x:v>
      </x:c>
      <x:c r="R50" s="41" t="n">
        <x:f>ROUND((J50*0.7)+IF(K50="Economic Buyer",1.5,IF(K50="Champion",1.2,IF(K50="Technical Evaluator",1,0.7))),1)</x:f>
        <x:v>4.3</x:v>
      </x:c>
      <x:c r="S50" s="35" t="str">
        <x:f>VLOOKUP(B50,Accounts!$A$6:$C$30,3,FALSE)</x:f>
        <x:v>Pharma</x:v>
      </x:c>
      <x:c r="T50" s="35"/>
      <x:c r="U50" s="35"/>
      <x:c r="V50" s="35"/>
      <x:c r="W50" s="35"/>
      <x:c r="X50" s="35"/>
      <x:c r="Y50" s="35"/>
      <x:c r="Z50" s="35"/>
    </x:row>
    <x:row r="51">
      <x:c r="A51" s="35" t="str">
        <x:v>CON-046</x:v>
      </x:c>
      <x:c r="B51" s="35" t="str">
        <x:v>ACC-005</x:v>
      </x:c>
      <x:c r="C51" s="35" t="str">
        <x:v>Ramesh Swaminathan</x:v>
      </x:c>
      <x:c r="D51" s="35" t="str">
        <x:v>Executive Director, Global CFO, Head of IT and API Plus SBU</x:v>
      </x:c>
      <x:c r="E51" s="35" t="str">
        <x:v>Digital / Data / AI</x:v>
      </x:c>
      <x:c r="F51" s="35" t="str">
        <x:v>EVP/SVP</x:v>
      </x:c>
      <x:c r="G51" s="35" t="str">
        <x:v>India</x:v>
      </x:c>
      <x:c r="H51" s="35" t="str"/>
      <x:c r="I51" s="35" t="str"/>
      <x:c r="J51" s="35" t="n">
        <x:v>5</x:v>
      </x:c>
      <x:c r="K51" s="35" t="str">
        <x:v>Technical Evaluator</x:v>
      </x:c>
      <x:c r="L51" s="35" t="str">
        <x:v>Digital health / AI platform</x:v>
      </x:c>
      <x:c r="M51" s="35" t="str">
        <x:v>Official company leadership source reviewed; tailor outreach to India evidence, clinical development, medical affairs, or digital-health priorities.</x:v>
      </x:c>
      <x:c r="N51" s="35" t="str">
        <x:v>https://lupin.com/about-us/leadership</x:v>
      </x:c>
      <x:c r="O51" s="35" t="str">
        <x:v>Official company leadership page</x:v>
      </x:c>
      <x:c r="P51" s="35" t="str">
        <x:v>Verified - official source</x:v>
      </x:c>
      <x:c r="Q51" s="38" t="n">
        <x:v>46295</x:v>
      </x:c>
      <x:c r="R51" s="41" t="n">
        <x:f>ROUND((J51*0.7)+IF(K51="Economic Buyer",1.5,IF(K51="Champion",1.2,IF(K51="Technical Evaluator",1,0.7))),1)</x:f>
        <x:v>4.5</x:v>
      </x:c>
      <x:c r="S51" s="35" t="str">
        <x:f>VLOOKUP(B51,Accounts!$A$6:$C$30,3,FALSE)</x:f>
        <x:v>Pharma</x:v>
      </x:c>
      <x:c r="T51" s="35"/>
      <x:c r="U51" s="35"/>
      <x:c r="V51" s="35"/>
      <x:c r="W51" s="35"/>
      <x:c r="X51" s="35"/>
      <x:c r="Y51" s="35"/>
      <x:c r="Z51" s="35"/>
    </x:row>
    <x:row r="52">
      <x:c r="A52" s="35" t="str">
        <x:v>CON-047</x:v>
      </x:c>
      <x:c r="B52" s="35" t="str">
        <x:v>ACC-005</x:v>
      </x:c>
      <x:c r="C52" s="35" t="str">
        <x:v>Abdelaziz Toumi</x:v>
      </x:c>
      <x:c r="D52" s="35" t="str">
        <x:v>CEO – Lupin Manufacturing Solutions</x:v>
      </x:c>
      <x:c r="E52" s="35" t="str">
        <x:v>Operations / Supply</x:v>
      </x:c>
      <x:c r="F52" s="35" t="str">
        <x:v>C-suite</x:v>
      </x:c>
      <x:c r="G52" s="35" t="str">
        <x:v>India</x:v>
      </x:c>
      <x:c r="H52" s="35" t="str"/>
      <x:c r="I52" s="35" t="str"/>
      <x:c r="J52" s="35" t="n">
        <x:v>4</x:v>
      </x:c>
      <x:c r="K52" s="35" t="str">
        <x:v>Champion</x:v>
      </x:c>
      <x:c r="L52" s="35" t="str">
        <x:v>RWE / commercial evidence</x:v>
      </x:c>
      <x:c r="M52" s="35" t="str">
        <x:v>Official company leadership source reviewed; tailor outreach to India evidence, clinical development, medical affairs, or digital-health priorities.</x:v>
      </x:c>
      <x:c r="N52" s="35" t="str">
        <x:v>https://lupin.com/about-us/leadership</x:v>
      </x:c>
      <x:c r="O52" s="35" t="str">
        <x:v>Official company leadership page</x:v>
      </x:c>
      <x:c r="P52" s="35" t="str">
        <x:v>Verified - official source</x:v>
      </x:c>
      <x:c r="Q52" s="38" t="n">
        <x:v>46295</x:v>
      </x:c>
      <x:c r="R52" s="41" t="n">
        <x:f>ROUND((J52*0.7)+IF(K52="Economic Buyer",1.5,IF(K52="Champion",1.2,IF(K52="Technical Evaluator",1,0.7))),1)</x:f>
        <x:v>4</x:v>
      </x:c>
      <x:c r="S52" s="35" t="str">
        <x:f>VLOOKUP(B52,Accounts!$A$6:$C$30,3,FALSE)</x:f>
        <x:v>Pharma</x:v>
      </x:c>
      <x:c r="T52" s="35"/>
      <x:c r="U52" s="35"/>
      <x:c r="V52" s="35"/>
      <x:c r="W52" s="35"/>
      <x:c r="X52" s="35"/>
      <x:c r="Y52" s="35"/>
      <x:c r="Z52" s="35"/>
    </x:row>
    <x:row r="53">
      <x:c r="A53" s="35" t="str">
        <x:v>CON-048</x:v>
      </x:c>
      <x:c r="B53" s="35" t="str">
        <x:v>ACC-005</x:v>
      </x:c>
      <x:c r="C53" s="35" t="str">
        <x:v>Christoph Funke</x:v>
      </x:c>
      <x:c r="D53" s="35" t="str">
        <x:v>Chief Technical Operations Officer</x:v>
      </x:c>
      <x:c r="E53" s="35" t="str">
        <x:v>Operations / Supply</x:v>
      </x:c>
      <x:c r="F53" s="35" t="str">
        <x:v>C-suite</x:v>
      </x:c>
      <x:c r="G53" s="35" t="str">
        <x:v>India</x:v>
      </x:c>
      <x:c r="H53" s="35" t="str"/>
      <x:c r="I53" s="35" t="str"/>
      <x:c r="J53" s="35" t="n">
        <x:v>4</x:v>
      </x:c>
      <x:c r="K53" s="35" t="str">
        <x:v>Champion</x:v>
      </x:c>
      <x:c r="L53" s="35" t="str">
        <x:v>RWE / commercial evidence</x:v>
      </x:c>
      <x:c r="M53" s="35" t="str">
        <x:v>Official company leadership source reviewed; tailor outreach to India evidence, clinical development, medical affairs, or digital-health priorities.</x:v>
      </x:c>
      <x:c r="N53" s="35" t="str">
        <x:v>https://lupin.com/about-us/leadership</x:v>
      </x:c>
      <x:c r="O53" s="35" t="str">
        <x:v>Official company leadership page</x:v>
      </x:c>
      <x:c r="P53" s="35" t="str">
        <x:v>Verified - official source</x:v>
      </x:c>
      <x:c r="Q53" s="38" t="n">
        <x:v>46295</x:v>
      </x:c>
      <x:c r="R53" s="41" t="n">
        <x:f>ROUND((J53*0.7)+IF(K53="Economic Buyer",1.5,IF(K53="Champion",1.2,IF(K53="Technical Evaluator",1,0.7))),1)</x:f>
        <x:v>4</x:v>
      </x:c>
      <x:c r="S53" s="35" t="str">
        <x:f>VLOOKUP(B53,Accounts!$A$6:$C$30,3,FALSE)</x:f>
        <x:v>Pharma</x:v>
      </x:c>
      <x:c r="T53" s="35"/>
      <x:c r="U53" s="35"/>
      <x:c r="V53" s="35"/>
      <x:c r="W53" s="35"/>
      <x:c r="X53" s="35"/>
      <x:c r="Y53" s="35"/>
      <x:c r="Z53" s="35"/>
    </x:row>
    <x:row r="54">
      <x:c r="A54" s="35" t="str">
        <x:v>CON-049</x:v>
      </x:c>
      <x:c r="B54" s="35" t="str">
        <x:v>ACC-005</x:v>
      </x:c>
      <x:c r="C54" s="35" t="str">
        <x:v>Claus Jepsen</x:v>
      </x:c>
      <x:c r="D54" s="35" t="str">
        <x:v>President – Global Specialty</x:v>
      </x:c>
      <x:c r="E54" s="35" t="str">
        <x:v>Commercial / Market Access</x:v>
      </x:c>
      <x:c r="F54" s="35" t="str">
        <x:v>EVP/SVP</x:v>
      </x:c>
      <x:c r="G54" s="35" t="str">
        <x:v>India</x:v>
      </x:c>
      <x:c r="H54" s="35" t="str"/>
      <x:c r="I54" s="35" t="str"/>
      <x:c r="J54" s="35" t="n">
        <x:v>4</x:v>
      </x:c>
      <x:c r="K54" s="35" t="str">
        <x:v>Champion</x:v>
      </x:c>
      <x:c r="L54" s="35" t="str">
        <x:v>RWE / commercial evidence</x:v>
      </x:c>
      <x:c r="M54" s="35" t="str">
        <x:v>Official company leadership source reviewed; tailor outreach to India evidence, clinical development, medical affairs, or digital-health priorities.</x:v>
      </x:c>
      <x:c r="N54" s="35" t="str">
        <x:v>https://lupin.com/about-us/leadership</x:v>
      </x:c>
      <x:c r="O54" s="35" t="str">
        <x:v>Official company leadership page</x:v>
      </x:c>
      <x:c r="P54" s="35" t="str">
        <x:v>Verified - official source</x:v>
      </x:c>
      <x:c r="Q54" s="38" t="n">
        <x:v>46295</x:v>
      </x:c>
      <x:c r="R54" s="41" t="n">
        <x:f>ROUND((J54*0.7)+IF(K54="Economic Buyer",1.5,IF(K54="Champion",1.2,IF(K54="Technical Evaluator",1,0.7))),1)</x:f>
        <x:v>4</x:v>
      </x:c>
      <x:c r="S54" s="35" t="str">
        <x:f>VLOOKUP(B54,Accounts!$A$6:$C$30,3,FALSE)</x:f>
        <x:v>Pharma</x:v>
      </x:c>
      <x:c r="T54" s="35"/>
      <x:c r="U54" s="35"/>
      <x:c r="V54" s="35"/>
      <x:c r="W54" s="35"/>
      <x:c r="X54" s="35"/>
      <x:c r="Y54" s="35"/>
      <x:c r="Z54" s="35"/>
    </x:row>
    <x:row r="55">
      <x:c r="A55" s="35" t="str">
        <x:v>CON-050</x:v>
      </x:c>
      <x:c r="B55" s="35" t="str">
        <x:v>ACC-005</x:v>
      </x:c>
      <x:c r="C55" s="35" t="str">
        <x:v>Cyrus Karkaria</x:v>
      </x:c>
      <x:c r="D55" s="35" t="str">
        <x:v>President – Biotech Businesses</x:v>
      </x:c>
      <x:c r="E55" s="35" t="str">
        <x:v>R&amp;D / Clinical Development</x:v>
      </x:c>
      <x:c r="F55" s="35" t="str">
        <x:v>EVP/SVP</x:v>
      </x:c>
      <x:c r="G55" s="35" t="str">
        <x:v>India</x:v>
      </x:c>
      <x:c r="H55" s="35" t="str"/>
      <x:c r="I55" s="35" t="str"/>
      <x:c r="J55" s="35" t="n">
        <x:v>5</x:v>
      </x:c>
      <x:c r="K55" s="35" t="str">
        <x:v>Technical Evaluator</x:v>
      </x:c>
      <x:c r="L55" s="35" t="str">
        <x:v>Clinical trials / imaging biomarkers</x:v>
      </x:c>
      <x:c r="M55" s="35" t="str">
        <x:v>Official company leadership source reviewed; tailor outreach to India evidence, clinical development, medical affairs, or digital-health priorities.</x:v>
      </x:c>
      <x:c r="N55" s="35" t="str">
        <x:v>https://lupin.com/about-us/leadership</x:v>
      </x:c>
      <x:c r="O55" s="35" t="str">
        <x:v>Official company leadership page</x:v>
      </x:c>
      <x:c r="P55" s="35" t="str">
        <x:v>Verified - official source</x:v>
      </x:c>
      <x:c r="Q55" s="38" t="n">
        <x:v>46295</x:v>
      </x:c>
      <x:c r="R55" s="41" t="n">
        <x:f>ROUND((J55*0.7)+IF(K55="Economic Buyer",1.5,IF(K55="Champion",1.2,IF(K55="Technical Evaluator",1,0.7))),1)</x:f>
        <x:v>4.5</x:v>
      </x:c>
      <x:c r="S55" s="35" t="str">
        <x:f>VLOOKUP(B55,Accounts!$A$6:$C$30,3,FALSE)</x:f>
        <x:v>Pharma</x:v>
      </x:c>
      <x:c r="T55" s="35"/>
      <x:c r="U55" s="35"/>
      <x:c r="V55" s="35"/>
      <x:c r="W55" s="35"/>
      <x:c r="X55" s="35"/>
      <x:c r="Y55" s="35"/>
      <x:c r="Z55" s="35"/>
    </x:row>
    <x:row r="56">
      <x:c r="A56" s="35" t="str">
        <x:v>CON-051</x:v>
      </x:c>
      <x:c r="B56" s="35" t="str">
        <x:v>ACC-005</x:v>
      </x:c>
      <x:c r="C56" s="35" t="str">
        <x:v>Fabrice Egros</x:v>
      </x:c>
      <x:c r="D56" s="35" t="str">
        <x:v>President – Corporate Development</x:v>
      </x:c>
      <x:c r="E56" s="35" t="str">
        <x:v>Corporate Development</x:v>
      </x:c>
      <x:c r="F56" s="35" t="str">
        <x:v>EVP/SVP</x:v>
      </x:c>
      <x:c r="G56" s="35" t="str">
        <x:v>India</x:v>
      </x:c>
      <x:c r="H56" s="35" t="str"/>
      <x:c r="I56" s="35" t="str"/>
      <x:c r="J56" s="35" t="n">
        <x:v>4</x:v>
      </x:c>
      <x:c r="K56" s="35" t="str">
        <x:v>Champion</x:v>
      </x:c>
      <x:c r="L56" s="35" t="str">
        <x:v>RWE / commercial evidence</x:v>
      </x:c>
      <x:c r="M56" s="35" t="str">
        <x:v>Official company leadership source reviewed; tailor outreach to India evidence, clinical development, medical affairs, or digital-health priorities.</x:v>
      </x:c>
      <x:c r="N56" s="35" t="str">
        <x:v>https://lupin.com/about-us/leadership</x:v>
      </x:c>
      <x:c r="O56" s="35" t="str">
        <x:v>Official company leadership page</x:v>
      </x:c>
      <x:c r="P56" s="35" t="str">
        <x:v>Verified - official source</x:v>
      </x:c>
      <x:c r="Q56" s="38" t="n">
        <x:v>46295</x:v>
      </x:c>
      <x:c r="R56" s="41" t="n">
        <x:f>ROUND((J56*0.7)+IF(K56="Economic Buyer",1.5,IF(K56="Champion",1.2,IF(K56="Technical Evaluator",1,0.7))),1)</x:f>
        <x:v>4</x:v>
      </x:c>
      <x:c r="S56" s="35" t="str">
        <x:f>VLOOKUP(B56,Accounts!$A$6:$C$30,3,FALSE)</x:f>
        <x:v>Pharma</x:v>
      </x:c>
      <x:c r="T56" s="35"/>
      <x:c r="U56" s="35"/>
      <x:c r="V56" s="35"/>
      <x:c r="W56" s="35"/>
      <x:c r="X56" s="35"/>
      <x:c r="Y56" s="35"/>
      <x:c r="Z56" s="35"/>
    </x:row>
    <x:row r="57">
      <x:c r="A57" s="35" t="str">
        <x:v>CON-052</x:v>
      </x:c>
      <x:c r="B57" s="35" t="str">
        <x:v>ACC-005</x:v>
      </x:c>
      <x:c r="C57" s="35" t="str">
        <x:v>Ranjana Pathak</x:v>
      </x:c>
      <x:c r="D57" s="35" t="str">
        <x:v>Chief Quality Officer</x:v>
      </x:c>
      <x:c r="E57" s="35" t="str">
        <x:v>Medical Affairs</x:v>
      </x:c>
      <x:c r="F57" s="35" t="str">
        <x:v>C-suite</x:v>
      </x:c>
      <x:c r="G57" s="35" t="str">
        <x:v>India</x:v>
      </x:c>
      <x:c r="H57" s="35" t="str"/>
      <x:c r="I57" s="35" t="str"/>
      <x:c r="J57" s="35" t="n">
        <x:v>4</x:v>
      </x:c>
      <x:c r="K57" s="35" t="str">
        <x:v>Champion</x:v>
      </x:c>
      <x:c r="L57" s="35" t="str">
        <x:v>RWE / commercial evidence</x:v>
      </x:c>
      <x:c r="M57" s="35" t="str">
        <x:v>Official company leadership source reviewed; tailor outreach to India evidence, clinical development, medical affairs, or digital-health priorities.</x:v>
      </x:c>
      <x:c r="N57" s="35" t="str">
        <x:v>https://lupin.com/about-us/leadership</x:v>
      </x:c>
      <x:c r="O57" s="35" t="str">
        <x:v>Official company leadership page</x:v>
      </x:c>
      <x:c r="P57" s="35" t="str">
        <x:v>Verified - official source</x:v>
      </x:c>
      <x:c r="Q57" s="38" t="n">
        <x:v>46295</x:v>
      </x:c>
      <x:c r="R57" s="41" t="n">
        <x:f>ROUND((J57*0.7)+IF(K57="Economic Buyer",1.5,IF(K57="Champion",1.2,IF(K57="Technical Evaluator",1,0.7))),1)</x:f>
        <x:v>4</x:v>
      </x:c>
      <x:c r="S57" s="35" t="str">
        <x:f>VLOOKUP(B57,Accounts!$A$6:$C$30,3,FALSE)</x:f>
        <x:v>Pharma</x:v>
      </x:c>
      <x:c r="T57" s="35"/>
      <x:c r="U57" s="35"/>
      <x:c r="V57" s="35"/>
      <x:c r="W57" s="35"/>
      <x:c r="X57" s="35"/>
      <x:c r="Y57" s="35"/>
      <x:c r="Z57" s="35"/>
    </x:row>
    <x:row r="58">
      <x:c r="A58" s="35" t="str">
        <x:v>CON-053</x:v>
      </x:c>
      <x:c r="B58" s="35" t="str">
        <x:v>ACC-005</x:v>
      </x:c>
      <x:c r="C58" s="35" t="str">
        <x:v>Rajeev Sibal</x:v>
      </x:c>
      <x:c r="D58" s="35" t="str">
        <x:v>President – India Region Formulations</x:v>
      </x:c>
      <x:c r="E58" s="35" t="str">
        <x:v>Commercial / Market Access</x:v>
      </x:c>
      <x:c r="F58" s="35" t="str">
        <x:v>EVP/SVP</x:v>
      </x:c>
      <x:c r="G58" s="35" t="str">
        <x:v>India</x:v>
      </x:c>
      <x:c r="H58" s="35" t="str"/>
      <x:c r="I58" s="35" t="str"/>
      <x:c r="J58" s="35" t="n">
        <x:v>4</x:v>
      </x:c>
      <x:c r="K58" s="35" t="str">
        <x:v>Champion</x:v>
      </x:c>
      <x:c r="L58" s="35" t="str">
        <x:v>RWE / commercial evidence</x:v>
      </x:c>
      <x:c r="M58" s="35" t="str">
        <x:v>Official company leadership source reviewed; tailor outreach to India evidence, clinical development, medical affairs, or digital-health priorities.</x:v>
      </x:c>
      <x:c r="N58" s="35" t="str">
        <x:v>https://lupin.com/about-us/leadership</x:v>
      </x:c>
      <x:c r="O58" s="35" t="str">
        <x:v>Official company leadership page</x:v>
      </x:c>
      <x:c r="P58" s="35" t="str">
        <x:v>Verified - official source</x:v>
      </x:c>
      <x:c r="Q58" s="38" t="n">
        <x:v>46295</x:v>
      </x:c>
      <x:c r="R58" s="41" t="n">
        <x:f>ROUND((J58*0.7)+IF(K58="Economic Buyer",1.5,IF(K58="Champion",1.2,IF(K58="Technical Evaluator",1,0.7))),1)</x:f>
        <x:v>4</x:v>
      </x:c>
      <x:c r="S58" s="35" t="str">
        <x:f>VLOOKUP(B58,Accounts!$A$6:$C$30,3,FALSE)</x:f>
        <x:v>Pharma</x:v>
      </x:c>
      <x:c r="T58" s="35"/>
      <x:c r="U58" s="35"/>
      <x:c r="V58" s="35"/>
      <x:c r="W58" s="35"/>
      <x:c r="X58" s="35"/>
      <x:c r="Y58" s="35"/>
      <x:c r="Z58" s="35"/>
    </x:row>
    <x:row r="59">
      <x:c r="A59" s="35" t="str">
        <x:v>CON-054</x:v>
      </x:c>
      <x:c r="B59" s="35" t="str">
        <x:v>ACC-005</x:v>
      </x:c>
      <x:c r="C59" s="35" t="str">
        <x:v>Shahin Fesharaki</x:v>
      </x:c>
      <x:c r="D59" s="35" t="str">
        <x:v>Chief Scientific Officer</x:v>
      </x:c>
      <x:c r="E59" s="35" t="str">
        <x:v>R&amp;D / Clinical Development</x:v>
      </x:c>
      <x:c r="F59" s="35" t="str">
        <x:v>C-suite</x:v>
      </x:c>
      <x:c r="G59" s="35" t="str">
        <x:v>India</x:v>
      </x:c>
      <x:c r="H59" s="35" t="str"/>
      <x:c r="I59" s="35" t="str"/>
      <x:c r="J59" s="35" t="n">
        <x:v>5</x:v>
      </x:c>
      <x:c r="K59" s="35" t="str">
        <x:v>Technical Evaluator</x:v>
      </x:c>
      <x:c r="L59" s="35" t="str">
        <x:v>Clinical trials / imaging biomarkers</x:v>
      </x:c>
      <x:c r="M59" s="35" t="str">
        <x:v>Official company leadership source reviewed; tailor outreach to India evidence, clinical development, medical affairs, or digital-health priorities.</x:v>
      </x:c>
      <x:c r="N59" s="35" t="str">
        <x:v>https://lupin.com/about-us/leadership</x:v>
      </x:c>
      <x:c r="O59" s="35" t="str">
        <x:v>Official company leadership page</x:v>
      </x:c>
      <x:c r="P59" s="35" t="str">
        <x:v>Verified - official source</x:v>
      </x:c>
      <x:c r="Q59" s="38" t="n">
        <x:v>46295</x:v>
      </x:c>
      <x:c r="R59" s="41" t="n">
        <x:f>ROUND((J59*0.7)+IF(K59="Economic Buyer",1.5,IF(K59="Champion",1.2,IF(K59="Technical Evaluator",1,0.7))),1)</x:f>
        <x:v>4.5</x:v>
      </x:c>
      <x:c r="S59" s="35" t="str">
        <x:f>VLOOKUP(B59,Accounts!$A$6:$C$30,3,FALSE)</x:f>
        <x:v>Pharma</x:v>
      </x:c>
      <x:c r="T59" s="35"/>
      <x:c r="U59" s="35"/>
      <x:c r="V59" s="35"/>
      <x:c r="W59" s="35"/>
      <x:c r="X59" s="35"/>
      <x:c r="Y59" s="35"/>
      <x:c r="Z59" s="35"/>
    </x:row>
    <x:row r="60">
      <x:c r="A60" s="35" t="str">
        <x:v>CON-055</x:v>
      </x:c>
      <x:c r="B60" s="35" t="str">
        <x:v>ACC-005</x:v>
      </x:c>
      <x:c r="C60" s="35" t="str">
        <x:v>Spiro Gavaris</x:v>
      </x:c>
      <x:c r="D60" s="35" t="str">
        <x:v>President – U.S. Generics</x:v>
      </x:c>
      <x:c r="E60" s="35" t="str">
        <x:v>Commercial / Market Access</x:v>
      </x:c>
      <x:c r="F60" s="35" t="str">
        <x:v>EVP/SVP</x:v>
      </x:c>
      <x:c r="G60" s="35" t="str">
        <x:v>India</x:v>
      </x:c>
      <x:c r="H60" s="35" t="str"/>
      <x:c r="I60" s="35" t="str"/>
      <x:c r="J60" s="35" t="n">
        <x:v>4</x:v>
      </x:c>
      <x:c r="K60" s="35" t="str">
        <x:v>Champion</x:v>
      </x:c>
      <x:c r="L60" s="35" t="str">
        <x:v>RWE / commercial evidence</x:v>
      </x:c>
      <x:c r="M60" s="35" t="str">
        <x:v>Official company leadership source reviewed; tailor outreach to India evidence, clinical development, medical affairs, or digital-health priorities.</x:v>
      </x:c>
      <x:c r="N60" s="35" t="str">
        <x:v>https://lupin.com/about-us/leadership</x:v>
      </x:c>
      <x:c r="O60" s="35" t="str">
        <x:v>Official company leadership page</x:v>
      </x:c>
      <x:c r="P60" s="35" t="str">
        <x:v>Verified - official source</x:v>
      </x:c>
      <x:c r="Q60" s="38" t="n">
        <x:v>46295</x:v>
      </x:c>
      <x:c r="R60" s="41" t="n">
        <x:f>ROUND((J60*0.7)+IF(K60="Economic Buyer",1.5,IF(K60="Champion",1.2,IF(K60="Technical Evaluator",1,0.7))),1)</x:f>
        <x:v>4</x:v>
      </x:c>
      <x:c r="S60" s="35" t="str">
        <x:f>VLOOKUP(B60,Accounts!$A$6:$C$30,3,FALSE)</x:f>
        <x:v>Pharma</x:v>
      </x:c>
      <x:c r="T60" s="35"/>
      <x:c r="U60" s="35"/>
      <x:c r="V60" s="35"/>
      <x:c r="W60" s="35"/>
      <x:c r="X60" s="35"/>
      <x:c r="Y60" s="35"/>
      <x:c r="Z60" s="35"/>
    </x:row>
    <x:row r="61">
      <x:c r="A61" s="35" t="str">
        <x:v>CON-056</x:v>
      </x:c>
      <x:c r="B61" s="35" t="str">
        <x:v>ACC-005</x:v>
      </x:c>
      <x:c r="C61" s="35" t="str">
        <x:v>Thierry Volle</x:v>
      </x:c>
      <x:c r="D61" s="35" t="str">
        <x:v>President – EMEA and Emerging Markets</x:v>
      </x:c>
      <x:c r="E61" s="35" t="str">
        <x:v>Commercial / Market Access</x:v>
      </x:c>
      <x:c r="F61" s="35" t="str">
        <x:v>EVP/SVP</x:v>
      </x:c>
      <x:c r="G61" s="35" t="str">
        <x:v>India</x:v>
      </x:c>
      <x:c r="H61" s="35" t="str"/>
      <x:c r="I61" s="35" t="str"/>
      <x:c r="J61" s="35" t="n">
        <x:v>4</x:v>
      </x:c>
      <x:c r="K61" s="35" t="str">
        <x:v>Champion</x:v>
      </x:c>
      <x:c r="L61" s="35" t="str">
        <x:v>RWE / commercial evidence</x:v>
      </x:c>
      <x:c r="M61" s="35" t="str">
        <x:v>Official company leadership source reviewed; tailor outreach to India evidence, clinical development, medical affairs, or digital-health priorities.</x:v>
      </x:c>
      <x:c r="N61" s="35" t="str">
        <x:v>https://lupin.com/about-us/leadership</x:v>
      </x:c>
      <x:c r="O61" s="35" t="str">
        <x:v>Official company leadership page</x:v>
      </x:c>
      <x:c r="P61" s="35" t="str">
        <x:v>Verified - official source</x:v>
      </x:c>
      <x:c r="Q61" s="38" t="n">
        <x:v>46295</x:v>
      </x:c>
      <x:c r="R61" s="41" t="n">
        <x:f>ROUND((J61*0.7)+IF(K61="Economic Buyer",1.5,IF(K61="Champion",1.2,IF(K61="Technical Evaluator",1,0.7))),1)</x:f>
        <x:v>4</x:v>
      </x:c>
      <x:c r="S61" s="35" t="str">
        <x:f>VLOOKUP(B61,Accounts!$A$6:$C$30,3,FALSE)</x:f>
        <x:v>Pharma</x:v>
      </x:c>
      <x:c r="T61" s="35"/>
      <x:c r="U61" s="35"/>
      <x:c r="V61" s="35"/>
      <x:c r="W61" s="35"/>
      <x:c r="X61" s="35"/>
      <x:c r="Y61" s="35"/>
      <x:c r="Z61" s="35"/>
    </x:row>
    <x:row r="62">
      <x:c r="A62" s="35" t="str">
        <x:v>CON-057</x:v>
      </x:c>
      <x:c r="B62" s="35" t="str">
        <x:v>ACC-005</x:v>
      </x:c>
      <x:c r="C62" s="35" t="str">
        <x:v>Yashwant Mahadik</x:v>
      </x:c>
      <x:c r="D62" s="35" t="str">
        <x:v>President – Global Human Resources</x:v>
      </x:c>
      <x:c r="E62" s="35" t="str">
        <x:v>Executive Leadership</x:v>
      </x:c>
      <x:c r="F62" s="35" t="str">
        <x:v>EVP/SVP</x:v>
      </x:c>
      <x:c r="G62" s="35" t="str">
        <x:v>India</x:v>
      </x:c>
      <x:c r="H62" s="35" t="str"/>
      <x:c r="I62" s="35" t="str"/>
      <x:c r="J62" s="35" t="n">
        <x:v>4</x:v>
      </x:c>
      <x:c r="K62" s="35" t="str">
        <x:v>Economic Buyer</x:v>
      </x:c>
      <x:c r="L62" s="35" t="str">
        <x:v>RWE / commercial evidence</x:v>
      </x:c>
      <x:c r="M62" s="35" t="str">
        <x:v>Official company leadership source reviewed; tailor outreach to India evidence, clinical development, medical affairs, or digital-health priorities.</x:v>
      </x:c>
      <x:c r="N62" s="35" t="str">
        <x:v>https://lupin.com/about-us/leadership</x:v>
      </x:c>
      <x:c r="O62" s="35" t="str">
        <x:v>Official company leadership page</x:v>
      </x:c>
      <x:c r="P62" s="35" t="str">
        <x:v>Verified - official source</x:v>
      </x:c>
      <x:c r="Q62" s="38" t="n">
        <x:v>46295</x:v>
      </x:c>
      <x:c r="R62" s="41" t="n">
        <x:f>ROUND((J62*0.7)+IF(K62="Economic Buyer",1.5,IF(K62="Champion",1.2,IF(K62="Technical Evaluator",1,0.7))),1)</x:f>
        <x:v>4.3</x:v>
      </x:c>
      <x:c r="S62" s="35" t="str">
        <x:f>VLOOKUP(B62,Accounts!$A$6:$C$30,3,FALSE)</x:f>
        <x:v>Pharma</x:v>
      </x:c>
      <x:c r="T62" s="35"/>
      <x:c r="U62" s="35"/>
      <x:c r="V62" s="35"/>
      <x:c r="W62" s="35"/>
      <x:c r="X62" s="35"/>
      <x:c r="Y62" s="35"/>
      <x:c r="Z62" s="35"/>
    </x:row>
    <x:row r="63">
      <x:c r="A63" s="35" t="str">
        <x:v>CON-058</x:v>
      </x:c>
      <x:c r="B63" s="35" t="str">
        <x:v>ACC-005</x:v>
      </x:c>
      <x:c r="C63" s="35" t="str">
        <x:v>Rajalakshmi Azariah</x:v>
      </x:c>
      <x:c r="D63" s="35" t="str">
        <x:v>Vice President and Global Head – Corporate Communications</x:v>
      </x:c>
      <x:c r="E63" s="35" t="str">
        <x:v>Commercial / Market Access</x:v>
      </x:c>
      <x:c r="F63" s="35" t="str">
        <x:v>EVP/SVP</x:v>
      </x:c>
      <x:c r="G63" s="35" t="str">
        <x:v>India</x:v>
      </x:c>
      <x:c r="H63" s="35" t="str"/>
      <x:c r="I63" s="35" t="str"/>
      <x:c r="J63" s="35" t="n">
        <x:v>4</x:v>
      </x:c>
      <x:c r="K63" s="35" t="str">
        <x:v>Champion</x:v>
      </x:c>
      <x:c r="L63" s="35" t="str">
        <x:v>RWE / commercial evidence</x:v>
      </x:c>
      <x:c r="M63" s="35" t="str">
        <x:v>Official company leadership source reviewed; tailor outreach to India evidence, clinical development, medical affairs, or digital-health priorities.</x:v>
      </x:c>
      <x:c r="N63" s="35" t="str">
        <x:v>https://lupin.com/about-us/leadership</x:v>
      </x:c>
      <x:c r="O63" s="35" t="str">
        <x:v>Official company leadership page</x:v>
      </x:c>
      <x:c r="P63" s="35" t="str">
        <x:v>Verified - official source</x:v>
      </x:c>
      <x:c r="Q63" s="38" t="n">
        <x:v>46295</x:v>
      </x:c>
      <x:c r="R63" s="41" t="n">
        <x:f>ROUND((J63*0.7)+IF(K63="Economic Buyer",1.5,IF(K63="Champion",1.2,IF(K63="Technical Evaluator",1,0.7))),1)</x:f>
        <x:v>4</x:v>
      </x:c>
      <x:c r="S63" s="35" t="str">
        <x:f>VLOOKUP(B63,Accounts!$A$6:$C$30,3,FALSE)</x:f>
        <x:v>Pharma</x:v>
      </x:c>
      <x:c r="T63" s="35"/>
      <x:c r="U63" s="35"/>
      <x:c r="V63" s="35"/>
      <x:c r="W63" s="35"/>
      <x:c r="X63" s="35"/>
      <x:c r="Y63" s="35"/>
      <x:c r="Z63" s="35"/>
    </x:row>
    <x:row r="64">
      <x:c r="A64" s="35" t="str">
        <x:v>CON-059</x:v>
      </x:c>
      <x:c r="B64" s="35" t="str">
        <x:v>ACC-006</x:v>
      </x:c>
      <x:c r="C64" s="35" t="str">
        <x:v>Mangalam Ramasubramanian Kumar</x:v>
      </x:c>
      <x:c r="D64" s="35" t="str">
        <x:v>Independent Director &amp; Non-Executive Chairman</x:v>
      </x:c>
      <x:c r="E64" s="35" t="str">
        <x:v>Executive Leadership</x:v>
      </x:c>
      <x:c r="F64" s="35" t="str">
        <x:v>C-suite</x:v>
      </x:c>
      <x:c r="G64" s="35" t="str">
        <x:v>India</x:v>
      </x:c>
      <x:c r="H64" s="35" t="str"/>
      <x:c r="I64" s="35" t="str"/>
      <x:c r="J64" s="35" t="n">
        <x:v>4</x:v>
      </x:c>
      <x:c r="K64" s="35" t="str">
        <x:v>Economic Buyer</x:v>
      </x:c>
      <x:c r="L64" s="35" t="str">
        <x:v>RWE / commercial evidence</x:v>
      </x:c>
      <x:c r="M64" s="35" t="str">
        <x:v>Official company leadership source reviewed; tailor outreach to India evidence, clinical development, medical affairs, or digital-health priorities.</x:v>
      </x:c>
      <x:c r="N64" s="35" t="str">
        <x:v>https://www.aurobindo.com/about-us/management/board-of-directors</x:v>
      </x:c>
      <x:c r="O64" s="35" t="str">
        <x:v>Official company leadership page</x:v>
      </x:c>
      <x:c r="P64" s="35" t="str">
        <x:v>Verified - official source</x:v>
      </x:c>
      <x:c r="Q64" s="38" t="n">
        <x:v>46295</x:v>
      </x:c>
      <x:c r="R64" s="41" t="n">
        <x:f>ROUND((J64*0.7)+IF(K64="Economic Buyer",1.5,IF(K64="Champion",1.2,IF(K64="Technical Evaluator",1,0.7))),1)</x:f>
        <x:v>4.3</x:v>
      </x:c>
      <x:c r="S64" s="35" t="str">
        <x:f>VLOOKUP(B64,Accounts!$A$6:$C$30,3,FALSE)</x:f>
        <x:v>Pharma</x:v>
      </x:c>
      <x:c r="T64" s="35"/>
      <x:c r="U64" s="35"/>
      <x:c r="V64" s="35"/>
      <x:c r="W64" s="35"/>
      <x:c r="X64" s="35"/>
      <x:c r="Y64" s="35"/>
      <x:c r="Z64" s="35"/>
    </x:row>
    <x:row r="65">
      <x:c r="A65" s="35" t="str">
        <x:v>CON-060</x:v>
      </x:c>
      <x:c r="B65" s="35" t="str">
        <x:v>ACC-006</x:v>
      </x:c>
      <x:c r="C65" s="35" t="str">
        <x:v>K Nityananda Reddy</x:v>
      </x:c>
      <x:c r="D65" s="35" t="str">
        <x:v>Vice Chairman &amp; Managing Director</x:v>
      </x:c>
      <x:c r="E65" s="35" t="str">
        <x:v>Executive Leadership</x:v>
      </x:c>
      <x:c r="F65" s="35" t="str">
        <x:v>C-suite</x:v>
      </x:c>
      <x:c r="G65" s="35" t="str">
        <x:v>India</x:v>
      </x:c>
      <x:c r="H65" s="35" t="str"/>
      <x:c r="I65" s="35" t="str"/>
      <x:c r="J65" s="35" t="n">
        <x:v>4</x:v>
      </x:c>
      <x:c r="K65" s="35" t="str">
        <x:v>Economic Buyer</x:v>
      </x:c>
      <x:c r="L65" s="35" t="str">
        <x:v>RWE / commercial evidence</x:v>
      </x:c>
      <x:c r="M65" s="35" t="str">
        <x:v>Official company leadership source reviewed; tailor outreach to India evidence, clinical development, medical affairs, or digital-health priorities.</x:v>
      </x:c>
      <x:c r="N65" s="35" t="str">
        <x:v>https://www.aurobindo.com/about-us/management/board-of-directors</x:v>
      </x:c>
      <x:c r="O65" s="35" t="str">
        <x:v>Official company leadership page</x:v>
      </x:c>
      <x:c r="P65" s="35" t="str">
        <x:v>Verified - official source</x:v>
      </x:c>
      <x:c r="Q65" s="38" t="n">
        <x:v>46295</x:v>
      </x:c>
      <x:c r="R65" s="41" t="n">
        <x:f>ROUND((J65*0.7)+IF(K65="Economic Buyer",1.5,IF(K65="Champion",1.2,IF(K65="Technical Evaluator",1,0.7))),1)</x:f>
        <x:v>4.3</x:v>
      </x:c>
      <x:c r="S65" s="35" t="str">
        <x:f>VLOOKUP(B65,Accounts!$A$6:$C$30,3,FALSE)</x:f>
        <x:v>Pharma</x:v>
      </x:c>
      <x:c r="T65" s="35"/>
      <x:c r="U65" s="35"/>
      <x:c r="V65" s="35"/>
      <x:c r="W65" s="35"/>
      <x:c r="X65" s="35"/>
      <x:c r="Y65" s="35"/>
      <x:c r="Z65" s="35"/>
    </x:row>
    <x:row r="66">
      <x:c r="A66" s="35" t="str">
        <x:v>CON-061</x:v>
      </x:c>
      <x:c r="B66" s="35" t="str">
        <x:v>ACC-006</x:v>
      </x:c>
      <x:c r="C66" s="35" t="str">
        <x:v>P V Ram Prasad Reddy</x:v>
      </x:c>
      <x:c r="D66" s="35" t="str">
        <x:v>Non-Executive Director</x:v>
      </x:c>
      <x:c r="E66" s="35" t="str">
        <x:v>Executive Leadership</x:v>
      </x:c>
      <x:c r="F66" s="35" t="str">
        <x:v>EVP/SVP</x:v>
      </x:c>
      <x:c r="G66" s="35" t="str">
        <x:v>India</x:v>
      </x:c>
      <x:c r="H66" s="35" t="str"/>
      <x:c r="I66" s="35" t="str"/>
      <x:c r="J66" s="35" t="n">
        <x:v>4</x:v>
      </x:c>
      <x:c r="K66" s="35" t="str">
        <x:v>Economic Buyer</x:v>
      </x:c>
      <x:c r="L66" s="35" t="str">
        <x:v>RWE / commercial evidence</x:v>
      </x:c>
      <x:c r="M66" s="35" t="str">
        <x:v>Official company leadership source reviewed; tailor outreach to India evidence, clinical development, medical affairs, or digital-health priorities.</x:v>
      </x:c>
      <x:c r="N66" s="35" t="str">
        <x:v>https://www.aurobindo.com/about-us/management/board-of-directors</x:v>
      </x:c>
      <x:c r="O66" s="35" t="str">
        <x:v>Official company leadership page</x:v>
      </x:c>
      <x:c r="P66" s="35" t="str">
        <x:v>Verified - official source</x:v>
      </x:c>
      <x:c r="Q66" s="38" t="n">
        <x:v>46295</x:v>
      </x:c>
      <x:c r="R66" s="41" t="n">
        <x:f>ROUND((J66*0.7)+IF(K66="Economic Buyer",1.5,IF(K66="Champion",1.2,IF(K66="Technical Evaluator",1,0.7))),1)</x:f>
        <x:v>4.3</x:v>
      </x:c>
      <x:c r="S66" s="35" t="str">
        <x:f>VLOOKUP(B66,Accounts!$A$6:$C$30,3,FALSE)</x:f>
        <x:v>Pharma</x:v>
      </x:c>
      <x:c r="T66" s="35"/>
      <x:c r="U66" s="35"/>
      <x:c r="V66" s="35"/>
      <x:c r="W66" s="35"/>
      <x:c r="X66" s="35"/>
      <x:c r="Y66" s="35"/>
      <x:c r="Z66" s="35"/>
    </x:row>
    <x:row r="67">
      <x:c r="A67" s="35" t="str">
        <x:v>CON-062</x:v>
      </x:c>
      <x:c r="B67" s="35" t="str">
        <x:v>ACC-006</x:v>
      </x:c>
      <x:c r="C67" s="35" t="str">
        <x:v>M Madan Mohan Reddy</x:v>
      </x:c>
      <x:c r="D67" s="35" t="str">
        <x:v>Whole Time Director</x:v>
      </x:c>
      <x:c r="E67" s="35" t="str">
        <x:v>Executive Leadership</x:v>
      </x:c>
      <x:c r="F67" s="35" t="str">
        <x:v>Director</x:v>
      </x:c>
      <x:c r="G67" s="35" t="str">
        <x:v>India</x:v>
      </x:c>
      <x:c r="H67" s="35" t="str"/>
      <x:c r="I67" s="35" t="str"/>
      <x:c r="J67" s="35" t="n">
        <x:v>4</x:v>
      </x:c>
      <x:c r="K67" s="35" t="str">
        <x:v>Economic Buyer</x:v>
      </x:c>
      <x:c r="L67" s="35" t="str">
        <x:v>RWE / commercial evidence</x:v>
      </x:c>
      <x:c r="M67" s="35" t="str">
        <x:v>Official company leadership source reviewed; tailor outreach to India evidence, clinical development, medical affairs, or digital-health priorities.</x:v>
      </x:c>
      <x:c r="N67" s="35" t="str">
        <x:v>https://www.aurobindo.com/about-us/management/board-of-directors</x:v>
      </x:c>
      <x:c r="O67" s="35" t="str">
        <x:v>Official company leadership page</x:v>
      </x:c>
      <x:c r="P67" s="35" t="str">
        <x:v>Verified - official source</x:v>
      </x:c>
      <x:c r="Q67" s="38" t="n">
        <x:v>46295</x:v>
      </x:c>
      <x:c r="R67" s="41" t="n">
        <x:f>ROUND((J67*0.7)+IF(K67="Economic Buyer",1.5,IF(K67="Champion",1.2,IF(K67="Technical Evaluator",1,0.7))),1)</x:f>
        <x:v>4.3</x:v>
      </x:c>
      <x:c r="S67" s="35" t="str">
        <x:f>VLOOKUP(B67,Accounts!$A$6:$C$30,3,FALSE)</x:f>
        <x:v>Pharma</x:v>
      </x:c>
      <x:c r="T67" s="35"/>
      <x:c r="U67" s="35"/>
      <x:c r="V67" s="35"/>
      <x:c r="W67" s="35"/>
      <x:c r="X67" s="35"/>
      <x:c r="Y67" s="35"/>
      <x:c r="Z67" s="35"/>
    </x:row>
    <x:row r="68">
      <x:c r="A68" s="35" t="str">
        <x:v>CON-063</x:v>
      </x:c>
      <x:c r="B68" s="35" t="str">
        <x:v>ACC-006</x:v>
      </x:c>
      <x:c r="C68" s="35" t="str">
        <x:v>P Sarath Chandra Reddy</x:v>
      </x:c>
      <x:c r="D68" s="35" t="str">
        <x:v>Non-Executive Director</x:v>
      </x:c>
      <x:c r="E68" s="35" t="str">
        <x:v>Executive Leadership</x:v>
      </x:c>
      <x:c r="F68" s="35" t="str">
        <x:v>EVP/SVP</x:v>
      </x:c>
      <x:c r="G68" s="35" t="str">
        <x:v>India</x:v>
      </x:c>
      <x:c r="H68" s="35" t="str"/>
      <x:c r="I68" s="35" t="str"/>
      <x:c r="J68" s="35" t="n">
        <x:v>4</x:v>
      </x:c>
      <x:c r="K68" s="35" t="str">
        <x:v>Economic Buyer</x:v>
      </x:c>
      <x:c r="L68" s="35" t="str">
        <x:v>RWE / commercial evidence</x:v>
      </x:c>
      <x:c r="M68" s="35" t="str">
        <x:v>Official company leadership source reviewed; tailor outreach to India evidence, clinical development, medical affairs, or digital-health priorities.</x:v>
      </x:c>
      <x:c r="N68" s="35" t="str">
        <x:v>https://www.aurobindo.com/about-us/management/board-of-directors</x:v>
      </x:c>
      <x:c r="O68" s="35" t="str">
        <x:v>Official company leadership page</x:v>
      </x:c>
      <x:c r="P68" s="35" t="str">
        <x:v>Verified - official source</x:v>
      </x:c>
      <x:c r="Q68" s="38" t="n">
        <x:v>46295</x:v>
      </x:c>
      <x:c r="R68" s="41" t="n">
        <x:f>ROUND((J68*0.7)+IF(K68="Economic Buyer",1.5,IF(K68="Champion",1.2,IF(K68="Technical Evaluator",1,0.7))),1)</x:f>
        <x:v>4.3</x:v>
      </x:c>
      <x:c r="S68" s="35" t="str">
        <x:f>VLOOKUP(B68,Accounts!$A$6:$C$30,3,FALSE)</x:f>
        <x:v>Pharma</x:v>
      </x:c>
      <x:c r="T68" s="35"/>
      <x:c r="U68" s="35"/>
      <x:c r="V68" s="35"/>
      <x:c r="W68" s="35"/>
      <x:c r="X68" s="35"/>
      <x:c r="Y68" s="35"/>
      <x:c r="Z68" s="35"/>
    </x:row>
    <x:row r="69">
      <x:c r="A69" s="35" t="str">
        <x:v>CON-064</x:v>
      </x:c>
      <x:c r="B69" s="35" t="str">
        <x:v>ACC-006</x:v>
      </x:c>
      <x:c r="C69" s="35" t="str">
        <x:v>Girish Paman Vanvari</x:v>
      </x:c>
      <x:c r="D69" s="35" t="str">
        <x:v>Independent Director</x:v>
      </x:c>
      <x:c r="E69" s="35" t="str">
        <x:v>Executive Leadership</x:v>
      </x:c>
      <x:c r="F69" s="35" t="str">
        <x:v>Director</x:v>
      </x:c>
      <x:c r="G69" s="35" t="str">
        <x:v>India</x:v>
      </x:c>
      <x:c r="H69" s="35" t="str"/>
      <x:c r="I69" s="35" t="str"/>
      <x:c r="J69" s="35" t="n">
        <x:v>4</x:v>
      </x:c>
      <x:c r="K69" s="35" t="str">
        <x:v>Economic Buyer</x:v>
      </x:c>
      <x:c r="L69" s="35" t="str">
        <x:v>RWE / commercial evidence</x:v>
      </x:c>
      <x:c r="M69" s="35" t="str">
        <x:v>Official company leadership source reviewed; tailor outreach to India evidence, clinical development, medical affairs, or digital-health priorities.</x:v>
      </x:c>
      <x:c r="N69" s="35" t="str">
        <x:v>https://www.aurobindo.com/about-us/management/board-of-directors</x:v>
      </x:c>
      <x:c r="O69" s="35" t="str">
        <x:v>Official company leadership page</x:v>
      </x:c>
      <x:c r="P69" s="35" t="str">
        <x:v>Verified - official source</x:v>
      </x:c>
      <x:c r="Q69" s="38" t="n">
        <x:v>46295</x:v>
      </x:c>
      <x:c r="R69" s="41" t="n">
        <x:f>ROUND((J69*0.7)+IF(K69="Economic Buyer",1.5,IF(K69="Champion",1.2,IF(K69="Technical Evaluator",1,0.7))),1)</x:f>
        <x:v>4.3</x:v>
      </x:c>
      <x:c r="S69" s="35" t="str">
        <x:f>VLOOKUP(B69,Accounts!$A$6:$C$30,3,FALSE)</x:f>
        <x:v>Pharma</x:v>
      </x:c>
      <x:c r="T69" s="35"/>
      <x:c r="U69" s="35"/>
      <x:c r="V69" s="35"/>
      <x:c r="W69" s="35"/>
      <x:c r="X69" s="35"/>
      <x:c r="Y69" s="35"/>
      <x:c r="Z69" s="35"/>
    </x:row>
    <x:row r="70">
      <x:c r="A70" s="35" t="str">
        <x:v>CON-065</x:v>
      </x:c>
      <x:c r="B70" s="35" t="str">
        <x:v>ACC-006</x:v>
      </x:c>
      <x:c r="C70" s="35" t="str">
        <x:v>Santanu Mukherjee</x:v>
      </x:c>
      <x:c r="D70" s="35" t="str">
        <x:v>Independent Director</x:v>
      </x:c>
      <x:c r="E70" s="35" t="str">
        <x:v>Executive Leadership</x:v>
      </x:c>
      <x:c r="F70" s="35" t="str">
        <x:v>Director</x:v>
      </x:c>
      <x:c r="G70" s="35" t="str">
        <x:v>India</x:v>
      </x:c>
      <x:c r="H70" s="35" t="str"/>
      <x:c r="I70" s="35" t="str"/>
      <x:c r="J70" s="35" t="n">
        <x:v>4</x:v>
      </x:c>
      <x:c r="K70" s="35" t="str">
        <x:v>Economic Buyer</x:v>
      </x:c>
      <x:c r="L70" s="35" t="str">
        <x:v>RWE / commercial evidence</x:v>
      </x:c>
      <x:c r="M70" s="35" t="str">
        <x:v>Official company leadership source reviewed; tailor outreach to India evidence, clinical development, medical affairs, or digital-health priorities.</x:v>
      </x:c>
      <x:c r="N70" s="35" t="str">
        <x:v>https://www.aurobindo.com/about-us/management/board-of-directors</x:v>
      </x:c>
      <x:c r="O70" s="35" t="str">
        <x:v>Official company leadership page</x:v>
      </x:c>
      <x:c r="P70" s="35" t="str">
        <x:v>Verified - official source</x:v>
      </x:c>
      <x:c r="Q70" s="38" t="n">
        <x:v>46295</x:v>
      </x:c>
      <x:c r="R70" s="41" t="n">
        <x:f>ROUND((J70*0.7)+IF(K70="Economic Buyer",1.5,IF(K70="Champion",1.2,IF(K70="Technical Evaluator",1,0.7))),1)</x:f>
        <x:v>4.3</x:v>
      </x:c>
      <x:c r="S70" s="35" t="str">
        <x:f>VLOOKUP(B70,Accounts!$A$6:$C$30,3,FALSE)</x:f>
        <x:v>Pharma</x:v>
      </x:c>
      <x:c r="T70" s="35"/>
      <x:c r="U70" s="35"/>
      <x:c r="V70" s="35"/>
      <x:c r="W70" s="35"/>
      <x:c r="X70" s="35"/>
      <x:c r="Y70" s="35"/>
      <x:c r="Z70" s="35"/>
    </x:row>
    <x:row r="71">
      <x:c r="A71" s="35" t="str">
        <x:v>CON-066</x:v>
      </x:c>
      <x:c r="B71" s="35" t="str">
        <x:v>ACC-006</x:v>
      </x:c>
      <x:c r="C71" s="35" t="str">
        <x:v>Satakarni Makkapati</x:v>
      </x:c>
      <x:c r="D71" s="35" t="str">
        <x:v>Director; CEO, Biologics, Vaccines and Peptides</x:v>
      </x:c>
      <x:c r="E71" s="35" t="str">
        <x:v>R&amp;D / Clinical Development</x:v>
      </x:c>
      <x:c r="F71" s="35" t="str">
        <x:v>C-suite</x:v>
      </x:c>
      <x:c r="G71" s="35" t="str">
        <x:v>India</x:v>
      </x:c>
      <x:c r="H71" s="35" t="str"/>
      <x:c r="I71" s="35" t="str"/>
      <x:c r="J71" s="35" t="n">
        <x:v>5</x:v>
      </x:c>
      <x:c r="K71" s="35" t="str">
        <x:v>Technical Evaluator</x:v>
      </x:c>
      <x:c r="L71" s="35" t="str">
        <x:v>Clinical trials / imaging biomarkers</x:v>
      </x:c>
      <x:c r="M71" s="35" t="str">
        <x:v>Official company leadership source reviewed; tailor outreach to India evidence, clinical development, medical affairs, or digital-health priorities.</x:v>
      </x:c>
      <x:c r="N71" s="35" t="str">
        <x:v>https://www.aurobindo.com/about-us/management/board-of-directors</x:v>
      </x:c>
      <x:c r="O71" s="35" t="str">
        <x:v>Official company leadership page</x:v>
      </x:c>
      <x:c r="P71" s="35" t="str">
        <x:v>Verified - official source</x:v>
      </x:c>
      <x:c r="Q71" s="38" t="n">
        <x:v>46295</x:v>
      </x:c>
      <x:c r="R71" s="41" t="n">
        <x:f>ROUND((J71*0.7)+IF(K71="Economic Buyer",1.5,IF(K71="Champion",1.2,IF(K71="Technical Evaluator",1,0.7))),1)</x:f>
        <x:v>4.5</x:v>
      </x:c>
      <x:c r="S71" s="35" t="str">
        <x:f>VLOOKUP(B71,Accounts!$A$6:$C$30,3,FALSE)</x:f>
        <x:v>Pharma</x:v>
      </x:c>
      <x:c r="T71" s="35"/>
      <x:c r="U71" s="35"/>
      <x:c r="V71" s="35"/>
      <x:c r="W71" s="35"/>
      <x:c r="X71" s="35"/>
      <x:c r="Y71" s="35"/>
      <x:c r="Z71" s="35"/>
    </x:row>
    <x:row r="72">
      <x:c r="A72" s="35" t="str">
        <x:v>CON-067</x:v>
      </x:c>
      <x:c r="B72" s="35" t="str">
        <x:v>ACC-006</x:v>
      </x:c>
      <x:c r="C72" s="35" t="str">
        <x:v>Punita Kumar Sinha</x:v>
      </x:c>
      <x:c r="D72" s="35" t="str">
        <x:v>Independent Director</x:v>
      </x:c>
      <x:c r="E72" s="35" t="str">
        <x:v>Executive Leadership</x:v>
      </x:c>
      <x:c r="F72" s="35" t="str">
        <x:v>Director</x:v>
      </x:c>
      <x:c r="G72" s="35" t="str">
        <x:v>India</x:v>
      </x:c>
      <x:c r="H72" s="35" t="str"/>
      <x:c r="I72" s="35" t="str"/>
      <x:c r="J72" s="35" t="n">
        <x:v>4</x:v>
      </x:c>
      <x:c r="K72" s="35" t="str">
        <x:v>Economic Buyer</x:v>
      </x:c>
      <x:c r="L72" s="35" t="str">
        <x:v>RWE / commercial evidence</x:v>
      </x:c>
      <x:c r="M72" s="35" t="str">
        <x:v>Official company leadership source reviewed; tailor outreach to India evidence, clinical development, medical affairs, or digital-health priorities.</x:v>
      </x:c>
      <x:c r="N72" s="35" t="str">
        <x:v>https://www.aurobindo.com/about-us/management/board-of-directors</x:v>
      </x:c>
      <x:c r="O72" s="35" t="str">
        <x:v>Official company leadership page</x:v>
      </x:c>
      <x:c r="P72" s="35" t="str">
        <x:v>Verified - official source</x:v>
      </x:c>
      <x:c r="Q72" s="38" t="n">
        <x:v>46295</x:v>
      </x:c>
      <x:c r="R72" s="41" t="n">
        <x:f>ROUND((J72*0.7)+IF(K72="Economic Buyer",1.5,IF(K72="Champion",1.2,IF(K72="Technical Evaluator",1,0.7))),1)</x:f>
        <x:v>4.3</x:v>
      </x:c>
      <x:c r="S72" s="35" t="str">
        <x:f>VLOOKUP(B72,Accounts!$A$6:$C$30,3,FALSE)</x:f>
        <x:v>Pharma</x:v>
      </x:c>
      <x:c r="T72" s="35"/>
      <x:c r="U72" s="35"/>
      <x:c r="V72" s="35"/>
      <x:c r="W72" s="35"/>
      <x:c r="X72" s="35"/>
      <x:c r="Y72" s="35"/>
      <x:c r="Z72" s="35"/>
    </x:row>
    <x:row r="73">
      <x:c r="A73" s="35" t="str">
        <x:v>CON-068</x:v>
      </x:c>
      <x:c r="B73" s="35" t="str">
        <x:v>ACC-007</x:v>
      </x:c>
      <x:c r="C73" s="35" t="str">
        <x:v>Chirayu Amin</x:v>
      </x:c>
      <x:c r="D73" s="35" t="str">
        <x:v>Chairman &amp; CEO</x:v>
      </x:c>
      <x:c r="E73" s="35" t="str">
        <x:v>Executive Leadership</x:v>
      </x:c>
      <x:c r="F73" s="35" t="str">
        <x:v>C-suite</x:v>
      </x:c>
      <x:c r="G73" s="35" t="str">
        <x:v>India</x:v>
      </x:c>
      <x:c r="H73" s="35" t="str"/>
      <x:c r="I73" s="35" t="str"/>
      <x:c r="J73" s="35" t="n">
        <x:v>4</x:v>
      </x:c>
      <x:c r="K73" s="35" t="str">
        <x:v>Economic Buyer</x:v>
      </x:c>
      <x:c r="L73" s="35" t="str">
        <x:v>RWE / commercial evidence</x:v>
      </x:c>
      <x:c r="M73" s="35" t="str">
        <x:v>Official company leadership source reviewed; tailor outreach to India evidence, clinical development, medical affairs, or digital-health priorities.</x:v>
      </x:c>
      <x:c r="N73" s="35" t="str">
        <x:v>https://alembicpharmaceuticals.com/shareholder-information</x:v>
      </x:c>
      <x:c r="O73" s="35" t="str">
        <x:v>Official company leadership page</x:v>
      </x:c>
      <x:c r="P73" s="35" t="str">
        <x:v>Verified - official source</x:v>
      </x:c>
      <x:c r="Q73" s="38" t="n">
        <x:v>46295</x:v>
      </x:c>
      <x:c r="R73" s="41" t="n">
        <x:f>ROUND((J73*0.7)+IF(K73="Economic Buyer",1.5,IF(K73="Champion",1.2,IF(K73="Technical Evaluator",1,0.7))),1)</x:f>
        <x:v>4.3</x:v>
      </x:c>
      <x:c r="S73" s="35" t="str">
        <x:f>VLOOKUP(B73,Accounts!$A$6:$C$30,3,FALSE)</x:f>
        <x:v>Pharma</x:v>
      </x:c>
      <x:c r="T73" s="35"/>
      <x:c r="U73" s="35"/>
      <x:c r="V73" s="35"/>
      <x:c r="W73" s="35"/>
      <x:c r="X73" s="35"/>
      <x:c r="Y73" s="35"/>
      <x:c r="Z73" s="35"/>
    </x:row>
    <x:row r="74">
      <x:c r="A74" s="35" t="str">
        <x:v>CON-069</x:v>
      </x:c>
      <x:c r="B74" s="35" t="str">
        <x:v>ACC-007</x:v>
      </x:c>
      <x:c r="C74" s="35" t="str">
        <x:v>Pranav Amin</x:v>
      </x:c>
      <x:c r="D74" s="35" t="str">
        <x:v>Managing Director</x:v>
      </x:c>
      <x:c r="E74" s="35" t="str">
        <x:v>Executive Leadership</x:v>
      </x:c>
      <x:c r="F74" s="35" t="str">
        <x:v>C-suite</x:v>
      </x:c>
      <x:c r="G74" s="35" t="str">
        <x:v>India</x:v>
      </x:c>
      <x:c r="H74" s="35" t="str"/>
      <x:c r="I74" s="35" t="str"/>
      <x:c r="J74" s="35" t="n">
        <x:v>4</x:v>
      </x:c>
      <x:c r="K74" s="35" t="str">
        <x:v>Economic Buyer</x:v>
      </x:c>
      <x:c r="L74" s="35" t="str">
        <x:v>RWE / commercial evidence</x:v>
      </x:c>
      <x:c r="M74" s="35" t="str">
        <x:v>Official company leadership source reviewed; tailor outreach to India evidence, clinical development, medical affairs, or digital-health priorities.</x:v>
      </x:c>
      <x:c r="N74" s="35" t="str">
        <x:v>https://alembicpharmaceuticals.com/shareholder-information</x:v>
      </x:c>
      <x:c r="O74" s="35" t="str">
        <x:v>Official company leadership page</x:v>
      </x:c>
      <x:c r="P74" s="35" t="str">
        <x:v>Verified - official source</x:v>
      </x:c>
      <x:c r="Q74" s="38" t="n">
        <x:v>46295</x:v>
      </x:c>
      <x:c r="R74" s="41" t="n">
        <x:f>ROUND((J74*0.7)+IF(K74="Economic Buyer",1.5,IF(K74="Champion",1.2,IF(K74="Technical Evaluator",1,0.7))),1)</x:f>
        <x:v>4.3</x:v>
      </x:c>
      <x:c r="S74" s="35" t="str">
        <x:f>VLOOKUP(B74,Accounts!$A$6:$C$30,3,FALSE)</x:f>
        <x:v>Pharma</x:v>
      </x:c>
      <x:c r="T74" s="35"/>
      <x:c r="U74" s="35"/>
      <x:c r="V74" s="35"/>
      <x:c r="W74" s="35"/>
      <x:c r="X74" s="35"/>
      <x:c r="Y74" s="35"/>
      <x:c r="Z74" s="35"/>
    </x:row>
    <x:row r="75">
      <x:c r="A75" s="35" t="str">
        <x:v>CON-070</x:v>
      </x:c>
      <x:c r="B75" s="35" t="str">
        <x:v>ACC-007</x:v>
      </x:c>
      <x:c r="C75" s="35" t="str">
        <x:v>Shaunak Amin</x:v>
      </x:c>
      <x:c r="D75" s="35" t="str">
        <x:v>Managing Director</x:v>
      </x:c>
      <x:c r="E75" s="35" t="str">
        <x:v>Executive Leadership</x:v>
      </x:c>
      <x:c r="F75" s="35" t="str">
        <x:v>C-suite</x:v>
      </x:c>
      <x:c r="G75" s="35" t="str">
        <x:v>India</x:v>
      </x:c>
      <x:c r="H75" s="35" t="str"/>
      <x:c r="I75" s="35" t="str"/>
      <x:c r="J75" s="35" t="n">
        <x:v>4</x:v>
      </x:c>
      <x:c r="K75" s="35" t="str">
        <x:v>Economic Buyer</x:v>
      </x:c>
      <x:c r="L75" s="35" t="str">
        <x:v>RWE / commercial evidence</x:v>
      </x:c>
      <x:c r="M75" s="35" t="str">
        <x:v>Official company leadership source reviewed; tailor outreach to India evidence, clinical development, medical affairs, or digital-health priorities.</x:v>
      </x:c>
      <x:c r="N75" s="35" t="str">
        <x:v>https://alembicpharmaceuticals.com/shareholder-information</x:v>
      </x:c>
      <x:c r="O75" s="35" t="str">
        <x:v>Official company leadership page</x:v>
      </x:c>
      <x:c r="P75" s="35" t="str">
        <x:v>Verified - official source</x:v>
      </x:c>
      <x:c r="Q75" s="38" t="n">
        <x:v>46295</x:v>
      </x:c>
      <x:c r="R75" s="41" t="n">
        <x:f>ROUND((J75*0.7)+IF(K75="Economic Buyer",1.5,IF(K75="Champion",1.2,IF(K75="Technical Evaluator",1,0.7))),1)</x:f>
        <x:v>4.3</x:v>
      </x:c>
      <x:c r="S75" s="35" t="str">
        <x:f>VLOOKUP(B75,Accounts!$A$6:$C$30,3,FALSE)</x:f>
        <x:v>Pharma</x:v>
      </x:c>
      <x:c r="T75" s="35"/>
      <x:c r="U75" s="35"/>
      <x:c r="V75" s="35"/>
      <x:c r="W75" s="35"/>
      <x:c r="X75" s="35"/>
      <x:c r="Y75" s="35"/>
      <x:c r="Z75" s="35"/>
    </x:row>
    <x:row r="76">
      <x:c r="A76" s="35" t="str">
        <x:v>CON-071</x:v>
      </x:c>
      <x:c r="B76" s="35" t="str">
        <x:v>ACC-007</x:v>
      </x:c>
      <x:c r="C76" s="35" t="str">
        <x:v>R K Baheti</x:v>
      </x:c>
      <x:c r="D76" s="35" t="str">
        <x:v>Director - Finance &amp; CFO</x:v>
      </x:c>
      <x:c r="E76" s="35" t="str">
        <x:v>Executive Leadership</x:v>
      </x:c>
      <x:c r="F76" s="35" t="str">
        <x:v>Director</x:v>
      </x:c>
      <x:c r="G76" s="35" t="str">
        <x:v>India</x:v>
      </x:c>
      <x:c r="H76" s="35" t="str"/>
      <x:c r="I76" s="35" t="str"/>
      <x:c r="J76" s="35" t="n">
        <x:v>4</x:v>
      </x:c>
      <x:c r="K76" s="35" t="str">
        <x:v>Economic Buyer</x:v>
      </x:c>
      <x:c r="L76" s="35" t="str">
        <x:v>RWE / commercial evidence</x:v>
      </x:c>
      <x:c r="M76" s="35" t="str">
        <x:v>Official company leadership source reviewed; tailor outreach to India evidence, clinical development, medical affairs, or digital-health priorities.</x:v>
      </x:c>
      <x:c r="N76" s="35" t="str">
        <x:v>https://alembicpharmaceuticals.com/shareholder-information</x:v>
      </x:c>
      <x:c r="O76" s="35" t="str">
        <x:v>Official company leadership page</x:v>
      </x:c>
      <x:c r="P76" s="35" t="str">
        <x:v>Verified - official source</x:v>
      </x:c>
      <x:c r="Q76" s="38" t="n">
        <x:v>46295</x:v>
      </x:c>
      <x:c r="R76" s="41" t="n">
        <x:f>ROUND((J76*0.7)+IF(K76="Economic Buyer",1.5,IF(K76="Champion",1.2,IF(K76="Technical Evaluator",1,0.7))),1)</x:f>
        <x:v>4.3</x:v>
      </x:c>
      <x:c r="S76" s="35" t="str">
        <x:f>VLOOKUP(B76,Accounts!$A$6:$C$30,3,FALSE)</x:f>
        <x:v>Pharma</x:v>
      </x:c>
      <x:c r="T76" s="35"/>
      <x:c r="U76" s="35"/>
      <x:c r="V76" s="35"/>
      <x:c r="W76" s="35"/>
      <x:c r="X76" s="35"/>
      <x:c r="Y76" s="35"/>
      <x:c r="Z76" s="35"/>
    </x:row>
    <x:row r="77">
      <x:c r="A77" s="35" t="str">
        <x:v>CON-072</x:v>
      </x:c>
      <x:c r="B77" s="35" t="str">
        <x:v>ACC-007</x:v>
      </x:c>
      <x:c r="C77" s="35" t="str">
        <x:v>Manisha Saraf</x:v>
      </x:c>
      <x:c r="D77" s="35" t="str">
        <x:v>Company Secretary</x:v>
      </x:c>
      <x:c r="E77" s="35" t="str">
        <x:v>Executive Leadership</x:v>
      </x:c>
      <x:c r="F77" s="35" t="str">
        <x:v>Director</x:v>
      </x:c>
      <x:c r="G77" s="35" t="str">
        <x:v>India</x:v>
      </x:c>
      <x:c r="H77" s="35" t="str"/>
      <x:c r="I77" s="35" t="str"/>
      <x:c r="J77" s="35" t="n">
        <x:v>4</x:v>
      </x:c>
      <x:c r="K77" s="35" t="str">
        <x:v>Economic Buyer</x:v>
      </x:c>
      <x:c r="L77" s="35" t="str">
        <x:v>RWE / commercial evidence</x:v>
      </x:c>
      <x:c r="M77" s="35" t="str">
        <x:v>Official company leadership source reviewed; tailor outreach to India evidence, clinical development, medical affairs, or digital-health priorities.</x:v>
      </x:c>
      <x:c r="N77" s="35" t="str">
        <x:v>https://alembicpharmaceuticals.com/shareholder-information</x:v>
      </x:c>
      <x:c r="O77" s="35" t="str">
        <x:v>Official company leadership page</x:v>
      </x:c>
      <x:c r="P77" s="35" t="str">
        <x:v>Verified - official source</x:v>
      </x:c>
      <x:c r="Q77" s="38" t="n">
        <x:v>46295</x:v>
      </x:c>
      <x:c r="R77" s="41" t="n">
        <x:f>ROUND((J77*0.7)+IF(K77="Economic Buyer",1.5,IF(K77="Champion",1.2,IF(K77="Technical Evaluator",1,0.7))),1)</x:f>
        <x:v>4.3</x:v>
      </x:c>
      <x:c r="S77" s="35" t="str">
        <x:f>VLOOKUP(B77,Accounts!$A$6:$C$30,3,FALSE)</x:f>
        <x:v>Pharma</x:v>
      </x:c>
      <x:c r="T77" s="35"/>
      <x:c r="U77" s="35"/>
      <x:c r="V77" s="35"/>
      <x:c r="W77" s="35"/>
      <x:c r="X77" s="35"/>
      <x:c r="Y77" s="35"/>
      <x:c r="Z77" s="35"/>
    </x:row>
    <x:row r="78">
      <x:c r="A78" s="35" t="str">
        <x:v>CON-073</x:v>
      </x:c>
      <x:c r="B78" s="35" t="str">
        <x:v>ACC-007</x:v>
      </x:c>
      <x:c r="C78" s="35" t="str">
        <x:v>Ajay Kumar Desai</x:v>
      </x:c>
      <x:c r="D78" s="35" t="str">
        <x:v>Senior Vice President - Finance</x:v>
      </x:c>
      <x:c r="E78" s="35" t="str">
        <x:v>Executive Leadership</x:v>
      </x:c>
      <x:c r="F78" s="35" t="str">
        <x:v>EVP/SVP</x:v>
      </x:c>
      <x:c r="G78" s="35" t="str">
        <x:v>India</x:v>
      </x:c>
      <x:c r="H78" s="35" t="str"/>
      <x:c r="I78" s="35" t="str"/>
      <x:c r="J78" s="35" t="n">
        <x:v>4</x:v>
      </x:c>
      <x:c r="K78" s="35" t="str">
        <x:v>Economic Buyer</x:v>
      </x:c>
      <x:c r="L78" s="35" t="str">
        <x:v>RWE / commercial evidence</x:v>
      </x:c>
      <x:c r="M78" s="35" t="str">
        <x:v>Official company leadership source reviewed; tailor outreach to India evidence, clinical development, medical affairs, or digital-health priorities.</x:v>
      </x:c>
      <x:c r="N78" s="35" t="str">
        <x:v>https://alembicpharmaceuticals.com/shareholder-information</x:v>
      </x:c>
      <x:c r="O78" s="35" t="str">
        <x:v>Official company leadership page</x:v>
      </x:c>
      <x:c r="P78" s="35" t="str">
        <x:v>Verified - official source</x:v>
      </x:c>
      <x:c r="Q78" s="38" t="n">
        <x:v>46295</x:v>
      </x:c>
      <x:c r="R78" s="41" t="n">
        <x:f>ROUND((J78*0.7)+IF(K78="Economic Buyer",1.5,IF(K78="Champion",1.2,IF(K78="Technical Evaluator",1,0.7))),1)</x:f>
        <x:v>4.3</x:v>
      </x:c>
      <x:c r="S78" s="35" t="str">
        <x:f>VLOOKUP(B78,Accounts!$A$6:$C$30,3,FALSE)</x:f>
        <x:v>Pharma</x:v>
      </x:c>
      <x:c r="T78" s="35"/>
      <x:c r="U78" s="35"/>
      <x:c r="V78" s="35"/>
      <x:c r="W78" s="35"/>
      <x:c r="X78" s="35"/>
      <x:c r="Y78" s="35"/>
      <x:c r="Z78" s="35"/>
    </x:row>
    <x:row r="79">
      <x:c r="A79" s="35" t="str">
        <x:v>CON-074</x:v>
      </x:c>
      <x:c r="B79" s="35" t="str">
        <x:v>ACC-008</x:v>
      </x:c>
      <x:c r="C79" s="35" t="str">
        <x:v>Bhushan Akshikar</x:v>
      </x:c>
      <x:c r="D79" s="35" t="str">
        <x:v>Managing Director</x:v>
      </x:c>
      <x:c r="E79" s="35" t="str">
        <x:v>Executive Leadership</x:v>
      </x:c>
      <x:c r="F79" s="35" t="str">
        <x:v>C-suite</x:v>
      </x:c>
      <x:c r="G79" s="35" t="str">
        <x:v>India</x:v>
      </x:c>
      <x:c r="H79" s="35" t="str"/>
      <x:c r="I79" s="35" t="str"/>
      <x:c r="J79" s="35" t="n">
        <x:v>4</x:v>
      </x:c>
      <x:c r="K79" s="35" t="str">
        <x:v>Economic Buyer</x:v>
      </x:c>
      <x:c r="L79" s="35" t="str">
        <x:v>RWE / commercial evidence</x:v>
      </x:c>
      <x:c r="M79" s="35" t="str">
        <x:v>Official company leadership source reviewed; tailor outreach to India evidence, clinical development, medical affairs, or digital-health priorities.</x:v>
      </x:c>
      <x:c r="N79" s="35" t="str">
        <x:v>https://india-pharma.gsk.com/en-in/company/board-of-directors-and-india-leadership-team/</x:v>
      </x:c>
      <x:c r="O79" s="35" t="str">
        <x:v>Official company leadership page</x:v>
      </x:c>
      <x:c r="P79" s="35" t="str">
        <x:v>Verified - official source</x:v>
      </x:c>
      <x:c r="Q79" s="38" t="n">
        <x:v>46295</x:v>
      </x:c>
      <x:c r="R79" s="41" t="n">
        <x:f>ROUND((J79*0.7)+IF(K79="Economic Buyer",1.5,IF(K79="Champion",1.2,IF(K79="Technical Evaluator",1,0.7))),1)</x:f>
        <x:v>4.3</x:v>
      </x:c>
      <x:c r="S79" s="35" t="str">
        <x:f>VLOOKUP(B79,Accounts!$A$6:$C$30,3,FALSE)</x:f>
        <x:v>Pharma</x:v>
      </x:c>
      <x:c r="T79" s="35"/>
      <x:c r="U79" s="35"/>
      <x:c r="V79" s="35"/>
      <x:c r="W79" s="35"/>
      <x:c r="X79" s="35"/>
      <x:c r="Y79" s="35"/>
      <x:c r="Z79" s="35"/>
    </x:row>
    <x:row r="80">
      <x:c r="A80" s="35" t="str">
        <x:v>CON-075</x:v>
      </x:c>
      <x:c r="B80" s="35" t="str">
        <x:v>ACC-008</x:v>
      </x:c>
      <x:c r="C80" s="35" t="str">
        <x:v>Ronojit Biswas</x:v>
      </x:c>
      <x:c r="D80" s="35" t="str">
        <x:v>Chief Financial Officer</x:v>
      </x:c>
      <x:c r="E80" s="35" t="str">
        <x:v>Executive Leadership</x:v>
      </x:c>
      <x:c r="F80" s="35" t="str">
        <x:v>C-suite</x:v>
      </x:c>
      <x:c r="G80" s="35" t="str">
        <x:v>India</x:v>
      </x:c>
      <x:c r="H80" s="35" t="str"/>
      <x:c r="I80" s="35" t="str"/>
      <x:c r="J80" s="35" t="n">
        <x:v>4</x:v>
      </x:c>
      <x:c r="K80" s="35" t="str">
        <x:v>Economic Buyer</x:v>
      </x:c>
      <x:c r="L80" s="35" t="str">
        <x:v>RWE / commercial evidence</x:v>
      </x:c>
      <x:c r="M80" s="35" t="str">
        <x:v>Official company leadership source reviewed; tailor outreach to India evidence, clinical development, medical affairs, or digital-health priorities.</x:v>
      </x:c>
      <x:c r="N80" s="35" t="str">
        <x:v>https://india-pharma.gsk.com/en-in/company/board-of-directors-and-india-leadership-team/</x:v>
      </x:c>
      <x:c r="O80" s="35" t="str">
        <x:v>Official company leadership page</x:v>
      </x:c>
      <x:c r="P80" s="35" t="str">
        <x:v>Verified - official source</x:v>
      </x:c>
      <x:c r="Q80" s="38" t="n">
        <x:v>46295</x:v>
      </x:c>
      <x:c r="R80" s="41" t="n">
        <x:f>ROUND((J80*0.7)+IF(K80="Economic Buyer",1.5,IF(K80="Champion",1.2,IF(K80="Technical Evaluator",1,0.7))),1)</x:f>
        <x:v>4.3</x:v>
      </x:c>
      <x:c r="S80" s="35" t="str">
        <x:f>VLOOKUP(B80,Accounts!$A$6:$C$30,3,FALSE)</x:f>
        <x:v>Pharma</x:v>
      </x:c>
      <x:c r="T80" s="35"/>
      <x:c r="U80" s="35"/>
      <x:c r="V80" s="35"/>
      <x:c r="W80" s="35"/>
      <x:c r="X80" s="35"/>
      <x:c r="Y80" s="35"/>
      <x:c r="Z80" s="35"/>
    </x:row>
    <x:row r="81">
      <x:c r="A81" s="35" t="str">
        <x:v>CON-076</x:v>
      </x:c>
      <x:c r="B81" s="35" t="str">
        <x:v>ACC-008</x:v>
      </x:c>
      <x:c r="C81" s="35" t="str">
        <x:v>Harsh Trehan</x:v>
      </x:c>
      <x:c r="D81" s="35" t="str">
        <x:v>Executive Vice President, Human Resources</x:v>
      </x:c>
      <x:c r="E81" s="35" t="str">
        <x:v>Executive Leadership</x:v>
      </x:c>
      <x:c r="F81" s="35" t="str">
        <x:v>EVP/SVP</x:v>
      </x:c>
      <x:c r="G81" s="35" t="str">
        <x:v>India</x:v>
      </x:c>
      <x:c r="H81" s="35" t="str"/>
      <x:c r="I81" s="35" t="str"/>
      <x:c r="J81" s="35" t="n">
        <x:v>4</x:v>
      </x:c>
      <x:c r="K81" s="35" t="str">
        <x:v>Economic Buyer</x:v>
      </x:c>
      <x:c r="L81" s="35" t="str">
        <x:v>RWE / commercial evidence</x:v>
      </x:c>
      <x:c r="M81" s="35" t="str">
        <x:v>Official company leadership source reviewed; tailor outreach to India evidence, clinical development, medical affairs, or digital-health priorities.</x:v>
      </x:c>
      <x:c r="N81" s="35" t="str">
        <x:v>https://india-pharma.gsk.com/en-in/company/board-of-directors-and-india-leadership-team/</x:v>
      </x:c>
      <x:c r="O81" s="35" t="str">
        <x:v>Official company leadership page</x:v>
      </x:c>
      <x:c r="P81" s="35" t="str">
        <x:v>Verified - official source</x:v>
      </x:c>
      <x:c r="Q81" s="38" t="n">
        <x:v>46295</x:v>
      </x:c>
      <x:c r="R81" s="41" t="n">
        <x:f>ROUND((J81*0.7)+IF(K81="Economic Buyer",1.5,IF(K81="Champion",1.2,IF(K81="Technical Evaluator",1,0.7))),1)</x:f>
        <x:v>4.3</x:v>
      </x:c>
      <x:c r="S81" s="35" t="str">
        <x:f>VLOOKUP(B81,Accounts!$A$6:$C$30,3,FALSE)</x:f>
        <x:v>Pharma</x:v>
      </x:c>
      <x:c r="T81" s="35"/>
      <x:c r="U81" s="35"/>
      <x:c r="V81" s="35"/>
      <x:c r="W81" s="35"/>
      <x:c r="X81" s="35"/>
      <x:c r="Y81" s="35"/>
      <x:c r="Z81" s="35"/>
    </x:row>
    <x:row r="82">
      <x:c r="A82" s="35" t="str">
        <x:v>CON-077</x:v>
      </x:c>
      <x:c r="B82" s="35" t="str">
        <x:v>ACC-008</x:v>
      </x:c>
      <x:c r="C82" s="35" t="str">
        <x:v>Sharmishta Mitra</x:v>
      </x:c>
      <x:c r="D82" s="35" t="str">
        <x:v>Vice President, Paediatric Vaccines</x:v>
      </x:c>
      <x:c r="E82" s="35" t="str">
        <x:v>Commercial / Market Access</x:v>
      </x:c>
      <x:c r="F82" s="35" t="str">
        <x:v>EVP/SVP</x:v>
      </x:c>
      <x:c r="G82" s="35" t="str">
        <x:v>India</x:v>
      </x:c>
      <x:c r="H82" s="35" t="str"/>
      <x:c r="I82" s="35" t="str"/>
      <x:c r="J82" s="35" t="n">
        <x:v>4</x:v>
      </x:c>
      <x:c r="K82" s="35" t="str">
        <x:v>Champion</x:v>
      </x:c>
      <x:c r="L82" s="35" t="str">
        <x:v>RWE / commercial evidence</x:v>
      </x:c>
      <x:c r="M82" s="35" t="str">
        <x:v>Official company leadership source reviewed; tailor outreach to India evidence, clinical development, medical affairs, or digital-health priorities.</x:v>
      </x:c>
      <x:c r="N82" s="35" t="str">
        <x:v>https://india-pharma.gsk.com/en-in/company/board-of-directors-and-india-leadership-team/</x:v>
      </x:c>
      <x:c r="O82" s="35" t="str">
        <x:v>Official company leadership page</x:v>
      </x:c>
      <x:c r="P82" s="35" t="str">
        <x:v>Verified - official source</x:v>
      </x:c>
      <x:c r="Q82" s="38" t="n">
        <x:v>46295</x:v>
      </x:c>
      <x:c r="R82" s="41" t="n">
        <x:f>ROUND((J82*0.7)+IF(K82="Economic Buyer",1.5,IF(K82="Champion",1.2,IF(K82="Technical Evaluator",1,0.7))),1)</x:f>
        <x:v>4</x:v>
      </x:c>
      <x:c r="S82" s="35" t="str">
        <x:f>VLOOKUP(B82,Accounts!$A$6:$C$30,3,FALSE)</x:f>
        <x:v>Pharma</x:v>
      </x:c>
      <x:c r="T82" s="35"/>
      <x:c r="U82" s="35"/>
      <x:c r="V82" s="35"/>
      <x:c r="W82" s="35"/>
      <x:c r="X82" s="35"/>
      <x:c r="Y82" s="35"/>
      <x:c r="Z82" s="35"/>
    </x:row>
    <x:row r="83">
      <x:c r="A83" s="35" t="str">
        <x:v>CON-078</x:v>
      </x:c>
      <x:c r="B83" s="35" t="str">
        <x:v>ACC-008</x:v>
      </x:c>
      <x:c r="C83" s="35" t="str">
        <x:v>Carson Dalton</x:v>
      </x:c>
      <x:c r="D83" s="35" t="str">
        <x:v>Executive Vice President, Communications and Government Affairs</x:v>
      </x:c>
      <x:c r="E83" s="35" t="str">
        <x:v>Commercial / Market Access</x:v>
      </x:c>
      <x:c r="F83" s="35" t="str">
        <x:v>EVP/SVP</x:v>
      </x:c>
      <x:c r="G83" s="35" t="str">
        <x:v>India</x:v>
      </x:c>
      <x:c r="H83" s="35" t="str"/>
      <x:c r="I83" s="35" t="str"/>
      <x:c r="J83" s="35" t="n">
        <x:v>4</x:v>
      </x:c>
      <x:c r="K83" s="35" t="str">
        <x:v>Champion</x:v>
      </x:c>
      <x:c r="L83" s="35" t="str">
        <x:v>RWE / commercial evidence</x:v>
      </x:c>
      <x:c r="M83" s="35" t="str">
        <x:v>Official company leadership source reviewed; tailor outreach to India evidence, clinical development, medical affairs, or digital-health priorities.</x:v>
      </x:c>
      <x:c r="N83" s="35" t="str">
        <x:v>https://india-pharma.gsk.com/en-in/company/board-of-directors-and-india-leadership-team/</x:v>
      </x:c>
      <x:c r="O83" s="35" t="str">
        <x:v>Official company leadership page</x:v>
      </x:c>
      <x:c r="P83" s="35" t="str">
        <x:v>Verified - official source</x:v>
      </x:c>
      <x:c r="Q83" s="38" t="n">
        <x:v>46295</x:v>
      </x:c>
      <x:c r="R83" s="41" t="n">
        <x:f>ROUND((J83*0.7)+IF(K83="Economic Buyer",1.5,IF(K83="Champion",1.2,IF(K83="Technical Evaluator",1,0.7))),1)</x:f>
        <x:v>4</x:v>
      </x:c>
      <x:c r="S83" s="35" t="str">
        <x:f>VLOOKUP(B83,Accounts!$A$6:$C$30,3,FALSE)</x:f>
        <x:v>Pharma</x:v>
      </x:c>
      <x:c r="T83" s="35"/>
      <x:c r="U83" s="35"/>
      <x:c r="V83" s="35"/>
      <x:c r="W83" s="35"/>
      <x:c r="X83" s="35"/>
      <x:c r="Y83" s="35"/>
      <x:c r="Z83" s="35"/>
    </x:row>
    <x:row r="84">
      <x:c r="A84" s="35" t="str">
        <x:v>CON-079</x:v>
      </x:c>
      <x:c r="B84" s="35" t="str">
        <x:v>ACC-008</x:v>
      </x:c>
      <x:c r="C84" s="35" t="str">
        <x:v>Sukanya Choudhury</x:v>
      </x:c>
      <x:c r="D84" s="35" t="str">
        <x:v>Executive Vice President, Regulatory Affairs</x:v>
      </x:c>
      <x:c r="E84" s="35" t="str">
        <x:v>Medical Affairs</x:v>
      </x:c>
      <x:c r="F84" s="35" t="str">
        <x:v>EVP/SVP</x:v>
      </x:c>
      <x:c r="G84" s="35" t="str">
        <x:v>India</x:v>
      </x:c>
      <x:c r="H84" s="35" t="str"/>
      <x:c r="I84" s="35" t="str"/>
      <x:c r="J84" s="35" t="n">
        <x:v>4</x:v>
      </x:c>
      <x:c r="K84" s="35" t="str">
        <x:v>Champion</x:v>
      </x:c>
      <x:c r="L84" s="35" t="str">
        <x:v>RWE / commercial evidence</x:v>
      </x:c>
      <x:c r="M84" s="35" t="str">
        <x:v>Official company leadership source reviewed; tailor outreach to India evidence, clinical development, medical affairs, or digital-health priorities.</x:v>
      </x:c>
      <x:c r="N84" s="35" t="str">
        <x:v>https://india-pharma.gsk.com/en-in/company/board-of-directors-and-india-leadership-team/</x:v>
      </x:c>
      <x:c r="O84" s="35" t="str">
        <x:v>Official company leadership page</x:v>
      </x:c>
      <x:c r="P84" s="35" t="str">
        <x:v>Verified - official source</x:v>
      </x:c>
      <x:c r="Q84" s="38" t="n">
        <x:v>46295</x:v>
      </x:c>
      <x:c r="R84" s="41" t="n">
        <x:f>ROUND((J84*0.7)+IF(K84="Economic Buyer",1.5,IF(K84="Champion",1.2,IF(K84="Technical Evaluator",1,0.7))),1)</x:f>
        <x:v>4</x:v>
      </x:c>
      <x:c r="S84" s="35" t="str">
        <x:f>VLOOKUP(B84,Accounts!$A$6:$C$30,3,FALSE)</x:f>
        <x:v>Pharma</x:v>
      </x:c>
      <x:c r="T84" s="35"/>
      <x:c r="U84" s="35"/>
      <x:c r="V84" s="35"/>
      <x:c r="W84" s="35"/>
      <x:c r="X84" s="35"/>
      <x:c r="Y84" s="35"/>
      <x:c r="Z84" s="35"/>
    </x:row>
    <x:row r="85">
      <x:c r="A85" s="35" t="str">
        <x:v>CON-080</x:v>
      </x:c>
      <x:c r="B85" s="35" t="str">
        <x:v>ACC-008</x:v>
      </x:c>
      <x:c r="C85" s="35" t="str">
        <x:v>Shalini Menon</x:v>
      </x:c>
      <x:c r="D85" s="35" t="str">
        <x:v>Executive Vice President, Medical Affairs</x:v>
      </x:c>
      <x:c r="E85" s="35" t="str">
        <x:v>Medical Affairs</x:v>
      </x:c>
      <x:c r="F85" s="35" t="str">
        <x:v>EVP/SVP</x:v>
      </x:c>
      <x:c r="G85" s="35" t="str">
        <x:v>India</x:v>
      </x:c>
      <x:c r="H85" s="35" t="str"/>
      <x:c r="I85" s="35" t="str"/>
      <x:c r="J85" s="35" t="n">
        <x:v>4</x:v>
      </x:c>
      <x:c r="K85" s="35" t="str">
        <x:v>Champion</x:v>
      </x:c>
      <x:c r="L85" s="35" t="str">
        <x:v>RWE / commercial evidence</x:v>
      </x:c>
      <x:c r="M85" s="35" t="str">
        <x:v>Official company leadership source reviewed; tailor outreach to India evidence, clinical development, medical affairs, or digital-health priorities.</x:v>
      </x:c>
      <x:c r="N85" s="35" t="str">
        <x:v>https://india-pharma.gsk.com/en-in/company/board-of-directors-and-india-leadership-team/</x:v>
      </x:c>
      <x:c r="O85" s="35" t="str">
        <x:v>Official company leadership page</x:v>
      </x:c>
      <x:c r="P85" s="35" t="str">
        <x:v>Verified - official source</x:v>
      </x:c>
      <x:c r="Q85" s="38" t="n">
        <x:v>46295</x:v>
      </x:c>
      <x:c r="R85" s="41" t="n">
        <x:f>ROUND((J85*0.7)+IF(K85="Economic Buyer",1.5,IF(K85="Champion",1.2,IF(K85="Technical Evaluator",1,0.7))),1)</x:f>
        <x:v>4</x:v>
      </x:c>
      <x:c r="S85" s="35" t="str">
        <x:f>VLOOKUP(B85,Accounts!$A$6:$C$30,3,FALSE)</x:f>
        <x:v>Pharma</x:v>
      </x:c>
      <x:c r="T85" s="35"/>
      <x:c r="U85" s="35"/>
      <x:c r="V85" s="35"/>
      <x:c r="W85" s="35"/>
      <x:c r="X85" s="35"/>
      <x:c r="Y85" s="35"/>
      <x:c r="Z85" s="35"/>
    </x:row>
    <x:row r="86">
      <x:c r="A86" s="35" t="str">
        <x:v>CON-081</x:v>
      </x:c>
      <x:c r="B86" s="35" t="str">
        <x:v>ACC-008</x:v>
      </x:c>
      <x:c r="C86" s="35" t="str">
        <x:v>Amit Pandey</x:v>
      </x:c>
      <x:c r="D86" s="35" t="str">
        <x:v>Executive Vice President, Legal</x:v>
      </x:c>
      <x:c r="E86" s="35" t="str">
        <x:v>Executive Leadership</x:v>
      </x:c>
      <x:c r="F86" s="35" t="str">
        <x:v>EVP/SVP</x:v>
      </x:c>
      <x:c r="G86" s="35" t="str">
        <x:v>India</x:v>
      </x:c>
      <x:c r="H86" s="35" t="str"/>
      <x:c r="I86" s="35" t="str"/>
      <x:c r="J86" s="35" t="n">
        <x:v>4</x:v>
      </x:c>
      <x:c r="K86" s="35" t="str">
        <x:v>Economic Buyer</x:v>
      </x:c>
      <x:c r="L86" s="35" t="str">
        <x:v>RWE / commercial evidence</x:v>
      </x:c>
      <x:c r="M86" s="35" t="str">
        <x:v>Official company leadership source reviewed; tailor outreach to India evidence, clinical development, medical affairs, or digital-health priorities.</x:v>
      </x:c>
      <x:c r="N86" s="35" t="str">
        <x:v>https://india-pharma.gsk.com/en-in/company/board-of-directors-and-india-leadership-team/</x:v>
      </x:c>
      <x:c r="O86" s="35" t="str">
        <x:v>Official company leadership page</x:v>
      </x:c>
      <x:c r="P86" s="35" t="str">
        <x:v>Verified - official source</x:v>
      </x:c>
      <x:c r="Q86" s="38" t="n">
        <x:v>46295</x:v>
      </x:c>
      <x:c r="R86" s="41" t="n">
        <x:f>ROUND((J86*0.7)+IF(K86="Economic Buyer",1.5,IF(K86="Champion",1.2,IF(K86="Technical Evaluator",1,0.7))),1)</x:f>
        <x:v>4.3</x:v>
      </x:c>
      <x:c r="S86" s="35" t="str">
        <x:f>VLOOKUP(B86,Accounts!$A$6:$C$30,3,FALSE)</x:f>
        <x:v>Pharma</x:v>
      </x:c>
      <x:c r="T86" s="35"/>
      <x:c r="U86" s="35"/>
      <x:c r="V86" s="35"/>
      <x:c r="W86" s="35"/>
      <x:c r="X86" s="35"/>
      <x:c r="Y86" s="35"/>
      <x:c r="Z86" s="35"/>
    </x:row>
    <x:row r="87">
      <x:c r="A87" s="35" t="str">
        <x:v>CON-082</x:v>
      </x:c>
      <x:c r="B87" s="35" t="str">
        <x:v>ACC-008</x:v>
      </x:c>
      <x:c r="C87" s="35" t="str">
        <x:v>Omkar Parnandiwar</x:v>
      </x:c>
      <x:c r="D87" s="35" t="str">
        <x:v>Vice President, Adult Vaccines</x:v>
      </x:c>
      <x:c r="E87" s="35" t="str">
        <x:v>Commercial / Market Access</x:v>
      </x:c>
      <x:c r="F87" s="35" t="str">
        <x:v>EVP/SVP</x:v>
      </x:c>
      <x:c r="G87" s="35" t="str">
        <x:v>India</x:v>
      </x:c>
      <x:c r="H87" s="35" t="str"/>
      <x:c r="I87" s="35" t="str"/>
      <x:c r="J87" s="35" t="n">
        <x:v>4</x:v>
      </x:c>
      <x:c r="K87" s="35" t="str">
        <x:v>Champion</x:v>
      </x:c>
      <x:c r="L87" s="35" t="str">
        <x:v>RWE / commercial evidence</x:v>
      </x:c>
      <x:c r="M87" s="35" t="str">
        <x:v>Official company leadership source reviewed; tailor outreach to India evidence, clinical development, medical affairs, or digital-health priorities.</x:v>
      </x:c>
      <x:c r="N87" s="35" t="str">
        <x:v>https://india-pharma.gsk.com/en-in/company/board-of-directors-and-india-leadership-team/</x:v>
      </x:c>
      <x:c r="O87" s="35" t="str">
        <x:v>Official company leadership page</x:v>
      </x:c>
      <x:c r="P87" s="35" t="str">
        <x:v>Verified - official source</x:v>
      </x:c>
      <x:c r="Q87" s="38" t="n">
        <x:v>46295</x:v>
      </x:c>
      <x:c r="R87" s="41" t="n">
        <x:f>ROUND((J87*0.7)+IF(K87="Economic Buyer",1.5,IF(K87="Champion",1.2,IF(K87="Technical Evaluator",1,0.7))),1)</x:f>
        <x:v>4</x:v>
      </x:c>
      <x:c r="S87" s="35" t="str">
        <x:f>VLOOKUP(B87,Accounts!$A$6:$C$30,3,FALSE)</x:f>
        <x:v>Pharma</x:v>
      </x:c>
      <x:c r="T87" s="35"/>
      <x:c r="U87" s="35"/>
      <x:c r="V87" s="35"/>
      <x:c r="W87" s="35"/>
      <x:c r="X87" s="35"/>
      <x:c r="Y87" s="35"/>
      <x:c r="Z87" s="35"/>
    </x:row>
    <x:row r="88">
      <x:c r="A88" s="35" t="str">
        <x:v>CON-083</x:v>
      </x:c>
      <x:c r="B88" s="35" t="str">
        <x:v>ACC-008</x:v>
      </x:c>
      <x:c r="C88" s="35" t="str">
        <x:v>Aparajita Rajput</x:v>
      </x:c>
      <x:c r="D88" s="35" t="str">
        <x:v>Vice President, Technology</x:v>
      </x:c>
      <x:c r="E88" s="35" t="str">
        <x:v>Digital / Data / AI</x:v>
      </x:c>
      <x:c r="F88" s="35" t="str">
        <x:v>EVP/SVP</x:v>
      </x:c>
      <x:c r="G88" s="35" t="str">
        <x:v>India</x:v>
      </x:c>
      <x:c r="H88" s="35" t="str"/>
      <x:c r="I88" s="35" t="str"/>
      <x:c r="J88" s="35" t="n">
        <x:v>5</x:v>
      </x:c>
      <x:c r="K88" s="35" t="str">
        <x:v>Technical Evaluator</x:v>
      </x:c>
      <x:c r="L88" s="35" t="str">
        <x:v>Digital health / AI platform</x:v>
      </x:c>
      <x:c r="M88" s="35" t="str">
        <x:v>Official company leadership source reviewed; tailor outreach to India evidence, clinical development, medical affairs, or digital-health priorities.</x:v>
      </x:c>
      <x:c r="N88" s="35" t="str">
        <x:v>https://india-pharma.gsk.com/en-in/company/board-of-directors-and-india-leadership-team/</x:v>
      </x:c>
      <x:c r="O88" s="35" t="str">
        <x:v>Official company leadership page</x:v>
      </x:c>
      <x:c r="P88" s="35" t="str">
        <x:v>Verified - official source</x:v>
      </x:c>
      <x:c r="Q88" s="38" t="n">
        <x:v>46295</x:v>
      </x:c>
      <x:c r="R88" s="41" t="n">
        <x:f>ROUND((J88*0.7)+IF(K88="Economic Buyer",1.5,IF(K88="Champion",1.2,IF(K88="Technical Evaluator",1,0.7))),1)</x:f>
        <x:v>4.5</x:v>
      </x:c>
      <x:c r="S88" s="35" t="str">
        <x:f>VLOOKUP(B88,Accounts!$A$6:$C$30,3,FALSE)</x:f>
        <x:v>Pharma</x:v>
      </x:c>
      <x:c r="T88" s="35"/>
      <x:c r="U88" s="35"/>
      <x:c r="V88" s="35"/>
      <x:c r="W88" s="35"/>
      <x:c r="X88" s="35"/>
      <x:c r="Y88" s="35"/>
      <x:c r="Z88" s="35"/>
    </x:row>
    <x:row r="89">
      <x:c r="A89" s="35" t="str">
        <x:v>CON-084</x:v>
      </x:c>
      <x:c r="B89" s="35" t="str">
        <x:v>ACC-008</x:v>
      </x:c>
      <x:c r="C89" s="35" t="str">
        <x:v>Vibhuti Gupta</x:v>
      </x:c>
      <x:c r="D89" s="35" t="str">
        <x:v>Vice President, Commercial Operations and Strategy</x:v>
      </x:c>
      <x:c r="E89" s="35" t="str">
        <x:v>Commercial / Market Access</x:v>
      </x:c>
      <x:c r="F89" s="35" t="str">
        <x:v>EVP/SVP</x:v>
      </x:c>
      <x:c r="G89" s="35" t="str">
        <x:v>India</x:v>
      </x:c>
      <x:c r="H89" s="35" t="str"/>
      <x:c r="I89" s="35" t="str"/>
      <x:c r="J89" s="35" t="n">
        <x:v>4</x:v>
      </x:c>
      <x:c r="K89" s="35" t="str">
        <x:v>Champion</x:v>
      </x:c>
      <x:c r="L89" s="35" t="str">
        <x:v>RWE / commercial evidence</x:v>
      </x:c>
      <x:c r="M89" s="35" t="str">
        <x:v>Official company leadership source reviewed; tailor outreach to India evidence, clinical development, medical affairs, or digital-health priorities.</x:v>
      </x:c>
      <x:c r="N89" s="35" t="str">
        <x:v>https://india-pharma.gsk.com/en-in/company/board-of-directors-and-india-leadership-team/</x:v>
      </x:c>
      <x:c r="O89" s="35" t="str">
        <x:v>Official company leadership page</x:v>
      </x:c>
      <x:c r="P89" s="35" t="str">
        <x:v>Verified - official source</x:v>
      </x:c>
      <x:c r="Q89" s="38" t="n">
        <x:v>46295</x:v>
      </x:c>
      <x:c r="R89" s="41" t="n">
        <x:f>ROUND((J89*0.7)+IF(K89="Economic Buyer",1.5,IF(K89="Champion",1.2,IF(K89="Technical Evaluator",1,0.7))),1)</x:f>
        <x:v>4</x:v>
      </x:c>
      <x:c r="S89" s="35" t="str">
        <x:f>VLOOKUP(B89,Accounts!$A$6:$C$30,3,FALSE)</x:f>
        <x:v>Pharma</x:v>
      </x:c>
      <x:c r="T89" s="35"/>
      <x:c r="U89" s="35"/>
      <x:c r="V89" s="35"/>
      <x:c r="W89" s="35"/>
      <x:c r="X89" s="35"/>
      <x:c r="Y89" s="35"/>
      <x:c r="Z89" s="35"/>
    </x:row>
    <x:row r="90">
      <x:c r="A90" s="35" t="str">
        <x:v>CON-085</x:v>
      </x:c>
      <x:c r="B90" s="35" t="str">
        <x:v>ACC-008</x:v>
      </x:c>
      <x:c r="C90" s="35" t="str">
        <x:v>Rishikesh S Jaiwant</x:v>
      </x:c>
      <x:c r="D90" s="35" t="str">
        <x:v>Executive Vice President, Supply Chain Operations</x:v>
      </x:c>
      <x:c r="E90" s="35" t="str">
        <x:v>Operations / Supply</x:v>
      </x:c>
      <x:c r="F90" s="35" t="str">
        <x:v>EVP/SVP</x:v>
      </x:c>
      <x:c r="G90" s="35" t="str">
        <x:v>India</x:v>
      </x:c>
      <x:c r="H90" s="35" t="str"/>
      <x:c r="I90" s="35" t="str"/>
      <x:c r="J90" s="35" t="n">
        <x:v>4</x:v>
      </x:c>
      <x:c r="K90" s="35" t="str">
        <x:v>Champion</x:v>
      </x:c>
      <x:c r="L90" s="35" t="str">
        <x:v>RWE / commercial evidence</x:v>
      </x:c>
      <x:c r="M90" s="35" t="str">
        <x:v>Official company leadership source reviewed; tailor outreach to India evidence, clinical development, medical affairs, or digital-health priorities.</x:v>
      </x:c>
      <x:c r="N90" s="35" t="str">
        <x:v>https://india-pharma.gsk.com/en-in/company/board-of-directors-and-india-leadership-team/</x:v>
      </x:c>
      <x:c r="O90" s="35" t="str">
        <x:v>Official company leadership page</x:v>
      </x:c>
      <x:c r="P90" s="35" t="str">
        <x:v>Verified - official source</x:v>
      </x:c>
      <x:c r="Q90" s="38" t="n">
        <x:v>46295</x:v>
      </x:c>
      <x:c r="R90" s="41" t="n">
        <x:f>ROUND((J90*0.7)+IF(K90="Economic Buyer",1.5,IF(K90="Champion",1.2,IF(K90="Technical Evaluator",1,0.7))),1)</x:f>
        <x:v>4</x:v>
      </x:c>
      <x:c r="S90" s="35" t="str">
        <x:f>VLOOKUP(B90,Accounts!$A$6:$C$30,3,FALSE)</x:f>
        <x:v>Pharma</x:v>
      </x:c>
      <x:c r="T90" s="35"/>
      <x:c r="U90" s="35"/>
      <x:c r="V90" s="35"/>
      <x:c r="W90" s="35"/>
      <x:c r="X90" s="35"/>
      <x:c r="Y90" s="35"/>
      <x:c r="Z90" s="35"/>
    </x:row>
    <x:row r="91">
      <x:c r="A91" s="35" t="str">
        <x:v>CON-086</x:v>
      </x:c>
      <x:c r="B91" s="35" t="str">
        <x:v>ACC-008</x:v>
      </x:c>
      <x:c r="C91" s="35" t="str">
        <x:v>Vishwanath Swarup</x:v>
      </x:c>
      <x:c r="D91" s="35" t="str">
        <x:v>Executive Vice President, General Medicines</x:v>
      </x:c>
      <x:c r="E91" s="35" t="str">
        <x:v>Commercial / Market Access</x:v>
      </x:c>
      <x:c r="F91" s="35" t="str">
        <x:v>EVP/SVP</x:v>
      </x:c>
      <x:c r="G91" s="35" t="str">
        <x:v>India</x:v>
      </x:c>
      <x:c r="H91" s="35" t="str"/>
      <x:c r="I91" s="35" t="str"/>
      <x:c r="J91" s="35" t="n">
        <x:v>4</x:v>
      </x:c>
      <x:c r="K91" s="35" t="str">
        <x:v>Champion</x:v>
      </x:c>
      <x:c r="L91" s="35" t="str">
        <x:v>RWE / commercial evidence</x:v>
      </x:c>
      <x:c r="M91" s="35" t="str">
        <x:v>Official company leadership source reviewed; tailor outreach to India evidence, clinical development, medical affairs, or digital-health priorities.</x:v>
      </x:c>
      <x:c r="N91" s="35" t="str">
        <x:v>https://india-pharma.gsk.com/en-in/company/board-of-directors-and-india-leadership-team/</x:v>
      </x:c>
      <x:c r="O91" s="35" t="str">
        <x:v>Official company leadership page</x:v>
      </x:c>
      <x:c r="P91" s="35" t="str">
        <x:v>Verified - official source</x:v>
      </x:c>
      <x:c r="Q91" s="38" t="n">
        <x:v>46295</x:v>
      </x:c>
      <x:c r="R91" s="41" t="n">
        <x:f>ROUND((J91*0.7)+IF(K91="Economic Buyer",1.5,IF(K91="Champion",1.2,IF(K91="Technical Evaluator",1,0.7))),1)</x:f>
        <x:v>4</x:v>
      </x:c>
      <x:c r="S91" s="35" t="str">
        <x:f>VLOOKUP(B91,Accounts!$A$6:$C$30,3,FALSE)</x:f>
        <x:v>Pharma</x:v>
      </x:c>
      <x:c r="T91" s="35"/>
      <x:c r="U91" s="35"/>
      <x:c r="V91" s="35"/>
      <x:c r="W91" s="35"/>
      <x:c r="X91" s="35"/>
      <x:c r="Y91" s="35"/>
      <x:c r="Z91" s="35"/>
    </x:row>
    <x:row r="92">
      <x:c r="A92" s="35" t="str">
        <x:v>CON-087</x:v>
      </x:c>
      <x:c r="B92" s="35" t="str">
        <x:v>ACC-008</x:v>
      </x:c>
      <x:c r="C92" s="35" t="str">
        <x:v>Vinay Subramanian</x:v>
      </x:c>
      <x:c r="D92" s="35" t="str">
        <x:v>Vice President, Oncology &amp; Enterprise Management &amp; Access</x:v>
      </x:c>
      <x:c r="E92" s="35" t="str">
        <x:v>Commercial / Market Access</x:v>
      </x:c>
      <x:c r="F92" s="35" t="str">
        <x:v>EVP/SVP</x:v>
      </x:c>
      <x:c r="G92" s="35" t="str">
        <x:v>India</x:v>
      </x:c>
      <x:c r="H92" s="35" t="str"/>
      <x:c r="I92" s="35" t="str"/>
      <x:c r="J92" s="35" t="n">
        <x:v>4</x:v>
      </x:c>
      <x:c r="K92" s="35" t="str">
        <x:v>Champion</x:v>
      </x:c>
      <x:c r="L92" s="35" t="str">
        <x:v>RWE / commercial evidence</x:v>
      </x:c>
      <x:c r="M92" s="35" t="str">
        <x:v>Official company leadership source reviewed; tailor outreach to India evidence, clinical development, medical affairs, or digital-health priorities.</x:v>
      </x:c>
      <x:c r="N92" s="35" t="str">
        <x:v>https://india-pharma.gsk.com/en-in/company/board-of-directors-and-india-leadership-team/</x:v>
      </x:c>
      <x:c r="O92" s="35" t="str">
        <x:v>Official company leadership page</x:v>
      </x:c>
      <x:c r="P92" s="35" t="str">
        <x:v>Verified - official source</x:v>
      </x:c>
      <x:c r="Q92" s="38" t="n">
        <x:v>46295</x:v>
      </x:c>
      <x:c r="R92" s="41" t="n">
        <x:f>ROUND((J92*0.7)+IF(K92="Economic Buyer",1.5,IF(K92="Champion",1.2,IF(K92="Technical Evaluator",1,0.7))),1)</x:f>
        <x:v>4</x:v>
      </x:c>
      <x:c r="S92" s="35" t="str">
        <x:f>VLOOKUP(B92,Accounts!$A$6:$C$30,3,FALSE)</x:f>
        <x:v>Pharma</x:v>
      </x:c>
      <x:c r="T92" s="35"/>
      <x:c r="U92" s="35"/>
      <x:c r="V92" s="35"/>
      <x:c r="W92" s="35"/>
      <x:c r="X92" s="35"/>
      <x:c r="Y92" s="35"/>
      <x:c r="Z92" s="35"/>
    </x:row>
    <x:row r="93">
      <x:c r="A93" s="35" t="str">
        <x:v>CON-088</x:v>
      </x:c>
      <x:c r="B93" s="35" t="str">
        <x:v>ACC-009</x:v>
      </x:c>
      <x:c r="C93" s="35" t="str">
        <x:v>Pankaj Patel</x:v>
      </x:c>
      <x:c r="D93" s="35" t="str">
        <x:v>Chairman</x:v>
      </x:c>
      <x:c r="E93" s="35" t="str">
        <x:v>Executive Leadership</x:v>
      </x:c>
      <x:c r="F93" s="35" t="str">
        <x:v>C-suite</x:v>
      </x:c>
      <x:c r="G93" s="35" t="str">
        <x:v>India</x:v>
      </x:c>
      <x:c r="H93" s="35" t="str"/>
      <x:c r="I93" s="35" t="str"/>
      <x:c r="J93" s="35" t="n">
        <x:v>4</x:v>
      </x:c>
      <x:c r="K93" s="35" t="str">
        <x:v>Economic Buyer</x:v>
      </x:c>
      <x:c r="L93" s="35" t="str">
        <x:v>RWE / commercial evidence</x:v>
      </x:c>
      <x:c r="M93" s="35" t="str">
        <x:v>Publicly known leadership record retained for research continuity. Verify current role directly on the company site before outreach.</x:v>
      </x:c>
      <x:c r="N93" s="35" t="str">
        <x:v>https://www.zyduslife.com/investor/admin/uploads/14/2/2024-2025.pdf</x:v>
      </x:c>
      <x:c r="O93" s="35" t="str">
        <x:v>Official company leadership page</x:v>
      </x:c>
      <x:c r="P93" s="35" t="str">
        <x:v>Unverified - recheck official source</x:v>
      </x:c>
      <x:c r="Q93" s="38" t="n">
        <x:v>46295</x:v>
      </x:c>
      <x:c r="R93" s="41" t="n">
        <x:f>ROUND((J93*0.7)+IF(K93="Economic Buyer",1.5,IF(K93="Champion",1.2,IF(K93="Technical Evaluator",1,0.7))),1)</x:f>
        <x:v>4.3</x:v>
      </x:c>
      <x:c r="S93" s="35" t="str">
        <x:f>VLOOKUP(B93,Accounts!$A$6:$C$30,3,FALSE)</x:f>
        <x:v>Pharma</x:v>
      </x:c>
      <x:c r="T93" s="35"/>
      <x:c r="U93" s="35"/>
      <x:c r="V93" s="35"/>
      <x:c r="W93" s="35"/>
      <x:c r="X93" s="35"/>
      <x:c r="Y93" s="35"/>
      <x:c r="Z93" s="35"/>
    </x:row>
    <x:row r="94">
      <x:c r="A94" s="35" t="str">
        <x:v>CON-089</x:v>
      </x:c>
      <x:c r="B94" s="35" t="str">
        <x:v>ACC-009</x:v>
      </x:c>
      <x:c r="C94" s="35" t="str">
        <x:v>Sharvil Patel</x:v>
      </x:c>
      <x:c r="D94" s="35" t="str">
        <x:v>Managing Director</x:v>
      </x:c>
      <x:c r="E94" s="35" t="str">
        <x:v>Executive Leadership</x:v>
      </x:c>
      <x:c r="F94" s="35" t="str">
        <x:v>C-suite</x:v>
      </x:c>
      <x:c r="G94" s="35" t="str">
        <x:v>India</x:v>
      </x:c>
      <x:c r="H94" s="35" t="str"/>
      <x:c r="I94" s="35" t="str"/>
      <x:c r="J94" s="35" t="n">
        <x:v>4</x:v>
      </x:c>
      <x:c r="K94" s="35" t="str">
        <x:v>Economic Buyer</x:v>
      </x:c>
      <x:c r="L94" s="35" t="str">
        <x:v>RWE / commercial evidence</x:v>
      </x:c>
      <x:c r="M94" s="35" t="str">
        <x:v>Publicly known leadership record retained for research continuity. Verify current role directly on the company site before outreach.</x:v>
      </x:c>
      <x:c r="N94" s="35" t="str">
        <x:v>https://www.zyduslife.com/investor/admin/uploads/14/2/2024-2025.pdf</x:v>
      </x:c>
      <x:c r="O94" s="35" t="str">
        <x:v>Official company leadership page</x:v>
      </x:c>
      <x:c r="P94" s="35" t="str">
        <x:v>Unverified - recheck official source</x:v>
      </x:c>
      <x:c r="Q94" s="38" t="n">
        <x:v>46295</x:v>
      </x:c>
      <x:c r="R94" s="41" t="n">
        <x:f>ROUND((J94*0.7)+IF(K94="Economic Buyer",1.5,IF(K94="Champion",1.2,IF(K94="Technical Evaluator",1,0.7))),1)</x:f>
        <x:v>4.3</x:v>
      </x:c>
      <x:c r="S94" s="35" t="str">
        <x:f>VLOOKUP(B94,Accounts!$A$6:$C$30,3,FALSE)</x:f>
        <x:v>Pharma</x:v>
      </x:c>
      <x:c r="T94" s="35"/>
      <x:c r="U94" s="35"/>
      <x:c r="V94" s="35"/>
      <x:c r="W94" s="35"/>
      <x:c r="X94" s="35"/>
      <x:c r="Y94" s="35"/>
      <x:c r="Z94" s="35"/>
    </x:row>
    <x:row r="95">
      <x:c r="A95" s="35" t="str">
        <x:v>CON-090</x:v>
      </x:c>
      <x:c r="B95" s="35" t="str">
        <x:v>ACC-009</x:v>
      </x:c>
      <x:c r="C95" s="35" t="str">
        <x:v>Suresh Pareek</x:v>
      </x:c>
      <x:c r="D95" s="35" t="str">
        <x:v>President</x:v>
      </x:c>
      <x:c r="E95" s="35" t="str">
        <x:v>R&amp;D / Clinical Development</x:v>
      </x:c>
      <x:c r="F95" s="35" t="str">
        <x:v>EVP/SVP</x:v>
      </x:c>
      <x:c r="G95" s="35" t="str">
        <x:v>India</x:v>
      </x:c>
      <x:c r="H95" s="35" t="str"/>
      <x:c r="I95" s="35" t="str"/>
      <x:c r="J95" s="35" t="n">
        <x:v>5</x:v>
      </x:c>
      <x:c r="K95" s="35" t="str">
        <x:v>Technical Evaluator</x:v>
      </x:c>
      <x:c r="L95" s="35" t="str">
        <x:v>Clinical trials / imaging biomarkers</x:v>
      </x:c>
      <x:c r="M95" s="35" t="str">
        <x:v>Publicly known leadership record retained for research continuity. Verify current role directly on the company site before outreach.</x:v>
      </x:c>
      <x:c r="N95" s="35" t="str">
        <x:v>https://www.zyduslife.com/investor/admin/uploads/14/2/2024-2025.pdf</x:v>
      </x:c>
      <x:c r="O95" s="35" t="str">
        <x:v>Official company leadership page</x:v>
      </x:c>
      <x:c r="P95" s="35" t="str">
        <x:v>Unverified - recheck official source</x:v>
      </x:c>
      <x:c r="Q95" s="38" t="n">
        <x:v>46295</x:v>
      </x:c>
      <x:c r="R95" s="41" t="n">
        <x:f>ROUND((J95*0.7)+IF(K95="Economic Buyer",1.5,IF(K95="Champion",1.2,IF(K95="Technical Evaluator",1,0.7))),1)</x:f>
        <x:v>4.5</x:v>
      </x:c>
      <x:c r="S95" s="35" t="str">
        <x:f>VLOOKUP(B95,Accounts!$A$6:$C$30,3,FALSE)</x:f>
        <x:v>Pharma</x:v>
      </x:c>
      <x:c r="T95" s="35"/>
      <x:c r="U95" s="35"/>
      <x:c r="V95" s="35"/>
      <x:c r="W95" s="35"/>
      <x:c r="X95" s="35"/>
      <x:c r="Y95" s="35"/>
      <x:c r="Z95" s="35"/>
    </x:row>
    <x:row r="96">
      <x:c r="A96" s="35" t="str">
        <x:v>CON-091</x:v>
      </x:c>
      <x:c r="B96" s="35" t="str">
        <x:v>ACC-009</x:v>
      </x:c>
      <x:c r="C96" s="35" t="str">
        <x:v>Sushil Shah</x:v>
      </x:c>
      <x:c r="D96" s="35" t="str">
        <x:v>Chief Financial Officer</x:v>
      </x:c>
      <x:c r="E96" s="35" t="str">
        <x:v>Executive Leadership</x:v>
      </x:c>
      <x:c r="F96" s="35" t="str">
        <x:v>C-suite</x:v>
      </x:c>
      <x:c r="G96" s="35" t="str">
        <x:v>India</x:v>
      </x:c>
      <x:c r="H96" s="35" t="str"/>
      <x:c r="I96" s="35" t="str"/>
      <x:c r="J96" s="35" t="n">
        <x:v>4</x:v>
      </x:c>
      <x:c r="K96" s="35" t="str">
        <x:v>Economic Buyer</x:v>
      </x:c>
      <x:c r="L96" s="35" t="str">
        <x:v>RWE / commercial evidence</x:v>
      </x:c>
      <x:c r="M96" s="35" t="str">
        <x:v>Publicly known leadership record retained for research continuity. Verify current role directly on the company site before outreach.</x:v>
      </x:c>
      <x:c r="N96" s="35" t="str">
        <x:v>https://www.zyduslife.com/investor/admin/uploads/14/2/2024-2025.pdf</x:v>
      </x:c>
      <x:c r="O96" s="35" t="str">
        <x:v>Official company leadership page</x:v>
      </x:c>
      <x:c r="P96" s="35" t="str">
        <x:v>Unverified - recheck official source</x:v>
      </x:c>
      <x:c r="Q96" s="38" t="n">
        <x:v>46295</x:v>
      </x:c>
      <x:c r="R96" s="41" t="n">
        <x:f>ROUND((J96*0.7)+IF(K96="Economic Buyer",1.5,IF(K96="Champion",1.2,IF(K96="Technical Evaluator",1,0.7))),1)</x:f>
        <x:v>4.3</x:v>
      </x:c>
      <x:c r="S96" s="35" t="str">
        <x:f>VLOOKUP(B96,Accounts!$A$6:$C$30,3,FALSE)</x:f>
        <x:v>Pharma</x:v>
      </x:c>
      <x:c r="T96" s="35"/>
      <x:c r="U96" s="35"/>
      <x:c r="V96" s="35"/>
      <x:c r="W96" s="35"/>
      <x:c r="X96" s="35"/>
      <x:c r="Y96" s="35"/>
      <x:c r="Z96" s="35"/>
    </x:row>
    <x:row r="97">
      <x:c r="A97" s="35" t="str">
        <x:v>CON-092</x:v>
      </x:c>
      <x:c r="B97" s="35" t="str">
        <x:v>ACC-009</x:v>
      </x:c>
      <x:c r="C97" s="35" t="str">
        <x:v>Vivek Jain</x:v>
      </x:c>
      <x:c r="D97" s="35" t="str">
        <x:v>President</x:v>
      </x:c>
      <x:c r="E97" s="35" t="str">
        <x:v>Commercial / Market Access</x:v>
      </x:c>
      <x:c r="F97" s="35" t="str">
        <x:v>EVP/SVP</x:v>
      </x:c>
      <x:c r="G97" s="35" t="str">
        <x:v>India</x:v>
      </x:c>
      <x:c r="H97" s="35" t="str"/>
      <x:c r="I97" s="35" t="str"/>
      <x:c r="J97" s="35" t="n">
        <x:v>4</x:v>
      </x:c>
      <x:c r="K97" s="35" t="str">
        <x:v>Champion</x:v>
      </x:c>
      <x:c r="L97" s="35" t="str">
        <x:v>RWE / commercial evidence</x:v>
      </x:c>
      <x:c r="M97" s="35" t="str">
        <x:v>Publicly known leadership record retained for research continuity. Verify current role directly on the company site before outreach.</x:v>
      </x:c>
      <x:c r="N97" s="35" t="str">
        <x:v>https://www.zyduslife.com/investor/admin/uploads/14/2/2024-2025.pdf</x:v>
      </x:c>
      <x:c r="O97" s="35" t="str">
        <x:v>Official company leadership page</x:v>
      </x:c>
      <x:c r="P97" s="35" t="str">
        <x:v>Unverified - recheck official source</x:v>
      </x:c>
      <x:c r="Q97" s="38" t="n">
        <x:v>46295</x:v>
      </x:c>
      <x:c r="R97" s="41" t="n">
        <x:f>ROUND((J97*0.7)+IF(K97="Economic Buyer",1.5,IF(K97="Champion",1.2,IF(K97="Technical Evaluator",1,0.7))),1)</x:f>
        <x:v>4</x:v>
      </x:c>
      <x:c r="S97" s="35" t="str">
        <x:f>VLOOKUP(B97,Accounts!$A$6:$C$30,3,FALSE)</x:f>
        <x:v>Pharma</x:v>
      </x:c>
      <x:c r="T97" s="35"/>
      <x:c r="U97" s="35"/>
      <x:c r="V97" s="35"/>
      <x:c r="W97" s="35"/>
      <x:c r="X97" s="35"/>
      <x:c r="Y97" s="35"/>
      <x:c r="Z97" s="35"/>
    </x:row>
    <x:row r="98">
      <x:c r="A98" s="35" t="str">
        <x:v>CON-093</x:v>
      </x:c>
      <x:c r="B98" s="35" t="str">
        <x:v>ACC-010</x:v>
      </x:c>
      <x:c r="C98" s="35" t="str">
        <x:v>Samir Mehta</x:v>
      </x:c>
      <x:c r="D98" s="35" t="str">
        <x:v>Chairman</x:v>
      </x:c>
      <x:c r="E98" s="35" t="str">
        <x:v>Executive Leadership</x:v>
      </x:c>
      <x:c r="F98" s="35" t="str">
        <x:v>C-suite</x:v>
      </x:c>
      <x:c r="G98" s="35" t="str">
        <x:v>India</x:v>
      </x:c>
      <x:c r="H98" s="35" t="str"/>
      <x:c r="I98" s="35" t="str"/>
      <x:c r="J98" s="35" t="n">
        <x:v>4</x:v>
      </x:c>
      <x:c r="K98" s="35" t="str">
        <x:v>Economic Buyer</x:v>
      </x:c>
      <x:c r="L98" s="35" t="str">
        <x:v>RWE / commercial evidence</x:v>
      </x:c>
      <x:c r="M98" s="35" t="str">
        <x:v>Publicly known leadership record retained for research continuity. Verify current role directly on the company site before outreach.</x:v>
      </x:c>
      <x:c r="N98" s="35" t="str">
        <x:v>https://www.torrentpharma.com/investors/corporate-governance/board-of-directors/</x:v>
      </x:c>
      <x:c r="O98" s="35" t="str">
        <x:v>Official company leadership page</x:v>
      </x:c>
      <x:c r="P98" s="35" t="str">
        <x:v>Unverified - recheck official source</x:v>
      </x:c>
      <x:c r="Q98" s="38" t="n">
        <x:v>46295</x:v>
      </x:c>
      <x:c r="R98" s="41" t="n">
        <x:f>ROUND((J98*0.7)+IF(K98="Economic Buyer",1.5,IF(K98="Champion",1.2,IF(K98="Technical Evaluator",1,0.7))),1)</x:f>
        <x:v>4.3</x:v>
      </x:c>
      <x:c r="S98" s="35" t="str">
        <x:f>VLOOKUP(B98,Accounts!$A$6:$C$30,3,FALSE)</x:f>
        <x:v>Pharma</x:v>
      </x:c>
      <x:c r="T98" s="35"/>
      <x:c r="U98" s="35"/>
      <x:c r="V98" s="35"/>
      <x:c r="W98" s="35"/>
      <x:c r="X98" s="35"/>
      <x:c r="Y98" s="35"/>
      <x:c r="Z98" s="35"/>
    </x:row>
    <x:row r="99">
      <x:c r="A99" s="35" t="str">
        <x:v>CON-094</x:v>
      </x:c>
      <x:c r="B99" s="35" t="str">
        <x:v>ACC-010</x:v>
      </x:c>
      <x:c r="C99" s="35" t="str">
        <x:v>Sudhir Mehta</x:v>
      </x:c>
      <x:c r="D99" s="35" t="str">
        <x:v>Director</x:v>
      </x:c>
      <x:c r="E99" s="35" t="str">
        <x:v>Executive Leadership</x:v>
      </x:c>
      <x:c r="F99" s="35" t="str">
        <x:v>Director</x:v>
      </x:c>
      <x:c r="G99" s="35" t="str">
        <x:v>India</x:v>
      </x:c>
      <x:c r="H99" s="35" t="str"/>
      <x:c r="I99" s="35" t="str"/>
      <x:c r="J99" s="35" t="n">
        <x:v>4</x:v>
      </x:c>
      <x:c r="K99" s="35" t="str">
        <x:v>Economic Buyer</x:v>
      </x:c>
      <x:c r="L99" s="35" t="str">
        <x:v>RWE / commercial evidence</x:v>
      </x:c>
      <x:c r="M99" s="35" t="str">
        <x:v>Publicly known leadership record retained for research continuity. Verify current role directly on the company site before outreach.</x:v>
      </x:c>
      <x:c r="N99" s="35" t="str">
        <x:v>https://www.torrentpharma.com/investors/corporate-governance/board-of-directors/</x:v>
      </x:c>
      <x:c r="O99" s="35" t="str">
        <x:v>Official company leadership page</x:v>
      </x:c>
      <x:c r="P99" s="35" t="str">
        <x:v>Unverified - recheck official source</x:v>
      </x:c>
      <x:c r="Q99" s="38" t="n">
        <x:v>46295</x:v>
      </x:c>
      <x:c r="R99" s="41" t="n">
        <x:f>ROUND((J99*0.7)+IF(K99="Economic Buyer",1.5,IF(K99="Champion",1.2,IF(K99="Technical Evaluator",1,0.7))),1)</x:f>
        <x:v>4.3</x:v>
      </x:c>
      <x:c r="S99" s="35" t="str">
        <x:f>VLOOKUP(B99,Accounts!$A$6:$C$30,3,FALSE)</x:f>
        <x:v>Pharma</x:v>
      </x:c>
      <x:c r="T99" s="35"/>
      <x:c r="U99" s="35"/>
      <x:c r="V99" s="35"/>
      <x:c r="W99" s="35"/>
      <x:c r="X99" s="35"/>
      <x:c r="Y99" s="35"/>
      <x:c r="Z99" s="35"/>
    </x:row>
    <x:row r="100">
      <x:c r="A100" s="35" t="str">
        <x:v>CON-095</x:v>
      </x:c>
      <x:c r="B100" s="35" t="str">
        <x:v>ACC-010</x:v>
      </x:c>
      <x:c r="C100" s="35" t="str">
        <x:v>Aman Mehta</x:v>
      </x:c>
      <x:c r="D100" s="35" t="str">
        <x:v>Executive Director</x:v>
      </x:c>
      <x:c r="E100" s="35" t="str">
        <x:v>Executive Leadership</x:v>
      </x:c>
      <x:c r="F100" s="35" t="str">
        <x:v>EVP/SVP</x:v>
      </x:c>
      <x:c r="G100" s="35" t="str">
        <x:v>India</x:v>
      </x:c>
      <x:c r="H100" s="35" t="str"/>
      <x:c r="I100" s="35" t="str"/>
      <x:c r="J100" s="35" t="n">
        <x:v>4</x:v>
      </x:c>
      <x:c r="K100" s="35" t="str">
        <x:v>Economic Buyer</x:v>
      </x:c>
      <x:c r="L100" s="35" t="str">
        <x:v>RWE / commercial evidence</x:v>
      </x:c>
      <x:c r="M100" s="35" t="str">
        <x:v>Publicly known leadership record retained for research continuity. Verify current role directly on the company site before outreach.</x:v>
      </x:c>
      <x:c r="N100" s="35" t="str">
        <x:v>https://www.torrentpharma.com/investors/corporate-governance/board-of-directors/</x:v>
      </x:c>
      <x:c r="O100" s="35" t="str">
        <x:v>Official company leadership page</x:v>
      </x:c>
      <x:c r="P100" s="35" t="str">
        <x:v>Unverified - recheck official source</x:v>
      </x:c>
      <x:c r="Q100" s="38" t="n">
        <x:v>46295</x:v>
      </x:c>
      <x:c r="R100" s="41" t="n">
        <x:f>ROUND((J100*0.7)+IF(K100="Economic Buyer",1.5,IF(K100="Champion",1.2,IF(K100="Technical Evaluator",1,0.7))),1)</x:f>
        <x:v>4.3</x:v>
      </x:c>
      <x:c r="S100" s="35" t="str">
        <x:f>VLOOKUP(B100,Accounts!$A$6:$C$30,3,FALSE)</x:f>
        <x:v>Pharma</x:v>
      </x:c>
      <x:c r="T100" s="35"/>
      <x:c r="U100" s="35"/>
      <x:c r="V100" s="35"/>
      <x:c r="W100" s="35"/>
      <x:c r="X100" s="35"/>
      <x:c r="Y100" s="35"/>
      <x:c r="Z100" s="35"/>
    </x:row>
    <x:row r="101">
      <x:c r="A101" s="35" t="str">
        <x:v>CON-096</x:v>
      </x:c>
      <x:c r="B101" s="35" t="str">
        <x:v>ACC-011</x:v>
      </x:c>
      <x:c r="C101" s="35" t="str">
        <x:v>R C Juneja</x:v>
      </x:c>
      <x:c r="D101" s="35" t="str">
        <x:v>Chairman</x:v>
      </x:c>
      <x:c r="E101" s="35" t="str">
        <x:v>Executive Leadership</x:v>
      </x:c>
      <x:c r="F101" s="35" t="str">
        <x:v>C-suite</x:v>
      </x:c>
      <x:c r="G101" s="35" t="str">
        <x:v>India</x:v>
      </x:c>
      <x:c r="H101" s="35" t="str"/>
      <x:c r="I101" s="35" t="str"/>
      <x:c r="J101" s="35" t="n">
        <x:v>4</x:v>
      </x:c>
      <x:c r="K101" s="35" t="str">
        <x:v>Economic Buyer</x:v>
      </x:c>
      <x:c r="L101" s="35" t="str">
        <x:v>RWE / commercial evidence</x:v>
      </x:c>
      <x:c r="M101" s="35" t="str">
        <x:v>Publicly known leadership record retained for research continuity. Verify current role directly on the company site before outreach.</x:v>
      </x:c>
      <x:c r="N101" s="35" t="str">
        <x:v>https://www.mankindpharma.com/about-us/board-of-directors</x:v>
      </x:c>
      <x:c r="O101" s="35" t="str">
        <x:v>Official company leadership page</x:v>
      </x:c>
      <x:c r="P101" s="35" t="str">
        <x:v>Unverified - recheck official source</x:v>
      </x:c>
      <x:c r="Q101" s="38" t="n">
        <x:v>46295</x:v>
      </x:c>
      <x:c r="R101" s="41" t="n">
        <x:f>ROUND((J101*0.7)+IF(K101="Economic Buyer",1.5,IF(K101="Champion",1.2,IF(K101="Technical Evaluator",1,0.7))),1)</x:f>
        <x:v>4.3</x:v>
      </x:c>
      <x:c r="S101" s="35" t="str">
        <x:f>VLOOKUP(B101,Accounts!$A$6:$C$30,3,FALSE)</x:f>
        <x:v>Pharma</x:v>
      </x:c>
      <x:c r="T101" s="35"/>
      <x:c r="U101" s="35"/>
      <x:c r="V101" s="35"/>
      <x:c r="W101" s="35"/>
      <x:c r="X101" s="35"/>
      <x:c r="Y101" s="35"/>
      <x:c r="Z101" s="35"/>
    </x:row>
    <x:row r="102">
      <x:c r="A102" s="35" t="str">
        <x:v>CON-097</x:v>
      </x:c>
      <x:c r="B102" s="35" t="str">
        <x:v>ACC-011</x:v>
      </x:c>
      <x:c r="C102" s="35" t="str">
        <x:v>Rajeev Juneja</x:v>
      </x:c>
      <x:c r="D102" s="35" t="str">
        <x:v>Managing Director</x:v>
      </x:c>
      <x:c r="E102" s="35" t="str">
        <x:v>Executive Leadership</x:v>
      </x:c>
      <x:c r="F102" s="35" t="str">
        <x:v>C-suite</x:v>
      </x:c>
      <x:c r="G102" s="35" t="str">
        <x:v>India</x:v>
      </x:c>
      <x:c r="H102" s="35" t="str"/>
      <x:c r="I102" s="35" t="str"/>
      <x:c r="J102" s="35" t="n">
        <x:v>4</x:v>
      </x:c>
      <x:c r="K102" s="35" t="str">
        <x:v>Economic Buyer</x:v>
      </x:c>
      <x:c r="L102" s="35" t="str">
        <x:v>RWE / commercial evidence</x:v>
      </x:c>
      <x:c r="M102" s="35" t="str">
        <x:v>Publicly known leadership record retained for research continuity. Verify current role directly on the company site before outreach.</x:v>
      </x:c>
      <x:c r="N102" s="35" t="str">
        <x:v>https://www.mankindpharma.com/about-us/board-of-directors</x:v>
      </x:c>
      <x:c r="O102" s="35" t="str">
        <x:v>Official company leadership page</x:v>
      </x:c>
      <x:c r="P102" s="35" t="str">
        <x:v>Unverified - recheck official source</x:v>
      </x:c>
      <x:c r="Q102" s="38" t="n">
        <x:v>46295</x:v>
      </x:c>
      <x:c r="R102" s="41" t="n">
        <x:f>ROUND((J102*0.7)+IF(K102="Economic Buyer",1.5,IF(K102="Champion",1.2,IF(K102="Technical Evaluator",1,0.7))),1)</x:f>
        <x:v>4.3</x:v>
      </x:c>
      <x:c r="S102" s="35" t="str">
        <x:f>VLOOKUP(B102,Accounts!$A$6:$C$30,3,FALSE)</x:f>
        <x:v>Pharma</x:v>
      </x:c>
      <x:c r="T102" s="35"/>
      <x:c r="U102" s="35"/>
      <x:c r="V102" s="35"/>
      <x:c r="W102" s="35"/>
      <x:c r="X102" s="35"/>
      <x:c r="Y102" s="35"/>
      <x:c r="Z102" s="35"/>
    </x:row>
    <x:row r="103">
      <x:c r="A103" s="35" t="str">
        <x:v>CON-098</x:v>
      </x:c>
      <x:c r="B103" s="35" t="str">
        <x:v>ACC-011</x:v>
      </x:c>
      <x:c r="C103" s="35" t="str">
        <x:v>Sheetal Arora</x:v>
      </x:c>
      <x:c r="D103" s="35" t="str">
        <x:v>Chief Executive Officer</x:v>
      </x:c>
      <x:c r="E103" s="35" t="str">
        <x:v>Executive Leadership</x:v>
      </x:c>
      <x:c r="F103" s="35" t="str">
        <x:v>C-suite</x:v>
      </x:c>
      <x:c r="G103" s="35" t="str">
        <x:v>India</x:v>
      </x:c>
      <x:c r="H103" s="35" t="str"/>
      <x:c r="I103" s="35" t="str"/>
      <x:c r="J103" s="35" t="n">
        <x:v>4</x:v>
      </x:c>
      <x:c r="K103" s="35" t="str">
        <x:v>Economic Buyer</x:v>
      </x:c>
      <x:c r="L103" s="35" t="str">
        <x:v>RWE / commercial evidence</x:v>
      </x:c>
      <x:c r="M103" s="35" t="str">
        <x:v>Publicly known leadership record retained for research continuity. Verify current role directly on the company site before outreach.</x:v>
      </x:c>
      <x:c r="N103" s="35" t="str">
        <x:v>https://www.mankindpharma.com/about-us/board-of-directors</x:v>
      </x:c>
      <x:c r="O103" s="35" t="str">
        <x:v>Official company leadership page</x:v>
      </x:c>
      <x:c r="P103" s="35" t="str">
        <x:v>Unverified - recheck official source</x:v>
      </x:c>
      <x:c r="Q103" s="38" t="n">
        <x:v>46295</x:v>
      </x:c>
      <x:c r="R103" s="41" t="n">
        <x:f>ROUND((J103*0.7)+IF(K103="Economic Buyer",1.5,IF(K103="Champion",1.2,IF(K103="Technical Evaluator",1,0.7))),1)</x:f>
        <x:v>4.3</x:v>
      </x:c>
      <x:c r="S103" s="35" t="str">
        <x:f>VLOOKUP(B103,Accounts!$A$6:$C$30,3,FALSE)</x:f>
        <x:v>Pharma</x:v>
      </x:c>
      <x:c r="T103" s="35"/>
      <x:c r="U103" s="35"/>
      <x:c r="V103" s="35"/>
      <x:c r="W103" s="35"/>
      <x:c r="X103" s="35"/>
      <x:c r="Y103" s="35"/>
      <x:c r="Z103" s="35"/>
    </x:row>
    <x:row r="104">
      <x:c r="A104" s="35" t="str">
        <x:v>CON-099</x:v>
      </x:c>
      <x:c r="B104" s="35" t="str">
        <x:v>ACC-012</x:v>
      </x:c>
      <x:c r="C104" s="35" t="str">
        <x:v>Satish Mehta</x:v>
      </x:c>
      <x:c r="D104" s="35" t="str">
        <x:v>Founder and Chief Executive Officer</x:v>
      </x:c>
      <x:c r="E104" s="35" t="str">
        <x:v>Executive Leadership</x:v>
      </x:c>
      <x:c r="F104" s="35" t="str">
        <x:v>C-suite</x:v>
      </x:c>
      <x:c r="G104" s="35" t="str">
        <x:v>India</x:v>
      </x:c>
      <x:c r="H104" s="35" t="str"/>
      <x:c r="I104" s="35" t="str"/>
      <x:c r="J104" s="35" t="n">
        <x:v>4</x:v>
      </x:c>
      <x:c r="K104" s="35" t="str">
        <x:v>Economic Buyer</x:v>
      </x:c>
      <x:c r="L104" s="35" t="str">
        <x:v>RWE / commercial evidence</x:v>
      </x:c>
      <x:c r="M104" s="35" t="str">
        <x:v>Publicly known leadership record retained for research continuity. Verify current role directly on the company site before outreach.</x:v>
      </x:c>
      <x:c r="N104" s="35" t="str">
        <x:v>https://www.emcure.com/about-us/leadership/</x:v>
      </x:c>
      <x:c r="O104" s="35" t="str">
        <x:v>Official company leadership page</x:v>
      </x:c>
      <x:c r="P104" s="35" t="str">
        <x:v>Unverified - recheck official source</x:v>
      </x:c>
      <x:c r="Q104" s="38" t="n">
        <x:v>46295</x:v>
      </x:c>
      <x:c r="R104" s="41" t="n">
        <x:f>ROUND((J104*0.7)+IF(K104="Economic Buyer",1.5,IF(K104="Champion",1.2,IF(K104="Technical Evaluator",1,0.7))),1)</x:f>
        <x:v>4.3</x:v>
      </x:c>
      <x:c r="S104" s="35" t="str">
        <x:f>VLOOKUP(B104,Accounts!$A$6:$C$30,3,FALSE)</x:f>
        <x:v>Pharma</x:v>
      </x:c>
      <x:c r="T104" s="35"/>
      <x:c r="U104" s="35"/>
      <x:c r="V104" s="35"/>
      <x:c r="W104" s="35"/>
      <x:c r="X104" s="35"/>
      <x:c r="Y104" s="35"/>
      <x:c r="Z104" s="35"/>
    </x:row>
    <x:row r="105">
      <x:c r="A105" s="35" t="str">
        <x:v>CON-100</x:v>
      </x:c>
      <x:c r="B105" s="35" t="str">
        <x:v>ACC-012</x:v>
      </x:c>
      <x:c r="C105" s="35" t="str">
        <x:v>Namita Thapar</x:v>
      </x:c>
      <x:c r="D105" s="35" t="str">
        <x:v>Executive Director</x:v>
      </x:c>
      <x:c r="E105" s="35" t="str">
        <x:v>Commercial / Market Access</x:v>
      </x:c>
      <x:c r="F105" s="35" t="str">
        <x:v>EVP/SVP</x:v>
      </x:c>
      <x:c r="G105" s="35" t="str">
        <x:v>India</x:v>
      </x:c>
      <x:c r="H105" s="35" t="str"/>
      <x:c r="I105" s="35" t="str"/>
      <x:c r="J105" s="35" t="n">
        <x:v>4</x:v>
      </x:c>
      <x:c r="K105" s="35" t="str">
        <x:v>Champion</x:v>
      </x:c>
      <x:c r="L105" s="35" t="str">
        <x:v>RWE / commercial evidence</x:v>
      </x:c>
      <x:c r="M105" s="35" t="str">
        <x:v>Publicly known leadership record retained for research continuity. Verify current role directly on the company site before outreach.</x:v>
      </x:c>
      <x:c r="N105" s="35" t="str">
        <x:v>https://www.emcure.com/about-us/leadership/</x:v>
      </x:c>
      <x:c r="O105" s="35" t="str">
        <x:v>Official company leadership page</x:v>
      </x:c>
      <x:c r="P105" s="35" t="str">
        <x:v>Unverified - recheck official source</x:v>
      </x:c>
      <x:c r="Q105" s="38" t="n">
        <x:v>46295</x:v>
      </x:c>
      <x:c r="R105" s="41" t="n">
        <x:f>ROUND((J105*0.7)+IF(K105="Economic Buyer",1.5,IF(K105="Champion",1.2,IF(K105="Technical Evaluator",1,0.7))),1)</x:f>
        <x:v>4</x:v>
      </x:c>
      <x:c r="S105" s="35" t="str">
        <x:f>VLOOKUP(B105,Accounts!$A$6:$C$30,3,FALSE)</x:f>
        <x:v>Pharma</x:v>
      </x:c>
      <x:c r="T105" s="35"/>
      <x:c r="U105" s="35"/>
      <x:c r="V105" s="35"/>
      <x:c r="W105" s="35"/>
      <x:c r="X105" s="35"/>
      <x:c r="Y105" s="35"/>
      <x:c r="Z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8"/>
      <x:c r="R106" s="41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8"/>
      <x:c r="R107" s="41"/>
      <x:c r="S107" s="35"/>
      <x:c r="T107" s="35"/>
      <x:c r="U107" s="35"/>
      <x:c r="V107" s="35"/>
      <x:c r="W107" s="35"/>
      <x:c r="X107" s="35"/>
      <x:c r="Y107" s="35"/>
      <x:c r="Z107" s="35"/>
    </x:row>
  </x:sheetData>
  <x:conditionalFormatting sqref="P6:P107">
    <x:cfRule type="containsText" dxfId="0" priority="1" operator="containsText" text="Unverified"/>
  </x:conditionalFormatting>
  <x:dataValidations count="3">
    <x:dataValidation type="list" sqref="E6:E107">
      <x:formula1>Lists!$H$6:$H$13</x:formula1>
    </x:dataValidation>
    <x:dataValidation type="list" sqref="F6:F107">
      <x:formula1>Lists!$D$6:$D$11</x:formula1>
    </x:dataValidation>
    <x:dataValidation type="list" sqref="K6:K107">
      <x:formula1>Lists!$I$6:$I$10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b59e66913e4a25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3" hidden="0" customWidth="1"/>
    <x:col min="5" max="5" width="28" hidden="0" customWidth="1"/>
    <x:col min="6" max="6" width="30" hidden="0" customWidth="1"/>
    <x:col min="7" max="7" width="18" hidden="0" customWidth="1"/>
    <x:col min="8" max="8" width="15" hidden="0" customWidth="1"/>
    <x:col min="9" max="9" width="12" hidden="0" customWidth="1"/>
    <x:col min="10" max="10" width="16" hidden="0" customWidth="1"/>
    <x:col min="11" max="11" width="32" hidden="0" customWidth="1"/>
    <x:col min="12" max="12" width="32" hidden="0" customWidth="1"/>
    <x:col min="13" max="13" width="38" hidden="0" customWidth="1"/>
    <x:col min="14" max="14" width="35" hidden="0" customWidth="1"/>
    <x:col min="15" max="15" width="16" hidden="0" customWidth="1"/>
  </x:cols>
  <x:sheetData>
    <x:row r="1">
      <x:c r="A1" s="34" t="str">
        <x:v>Opportunities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6" t="str">
        <x:v>All opportunity values and close dates are planning placeholders, not forecasts.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1" t="str">
        <x:v>Opportunity ID</x:v>
      </x:c>
      <x:c r="B5" s="31" t="str">
        <x:v>Account ID</x:v>
      </x:c>
      <x:c r="C5" s="31" t="str">
        <x:v>Contact ID</x:v>
      </x:c>
      <x:c r="D5" s="31" t="str">
        <x:v>Company</x:v>
      </x:c>
      <x:c r="E5" s="31" t="str">
        <x:v>Primary contact</x:v>
      </x:c>
      <x:c r="F5" s="31" t="str">
        <x:v>Use case</x:v>
      </x:c>
      <x:c r="G5" s="31" t="str">
        <x:v>Estimated value band</x:v>
      </x:c>
      <x:c r="H5" s="31" t="str">
        <x:v>Stage</x:v>
      </x:c>
      <x:c r="I5" s="31" t="str">
        <x:v>Probability</x:v>
      </x:c>
      <x:c r="J5" s="31" t="str">
        <x:v>Expected close date</x:v>
      </x:c>
      <x:c r="K5" s="31" t="str">
        <x:v>Competition / alternatives</x:v>
      </x:c>
      <x:c r="L5" s="31" t="str">
        <x:v>Key stakeholder map</x:v>
      </x:c>
      <x:c r="M5" s="31" t="str">
        <x:v>Next best action</x:v>
      </x:c>
      <x:c r="N5" s="31" t="str">
        <x:v>Risks and dependencies</x:v>
      </x:c>
      <x:c r="O5" s="31" t="str">
        <x:v>Activity status</x:v>
      </x:c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5" t="str">
        <x:v>OPP-001</x:v>
      </x:c>
      <x:c r="B6" s="35" t="str">
        <x:v>ACC-001</x:v>
      </x:c>
      <x:c r="C6" s="35" t="str">
        <x:v>CON-001</x:v>
      </x:c>
      <x:c r="D6" s="35" t="str">
        <x:v>Sun Pharmaceutical Industries</x:v>
      </x:c>
      <x:c r="E6" s="35" t="str">
        <x:v>Dilip Shanghvi</x:v>
      </x:c>
      <x:c r="F6" s="35" t="str">
        <x:v>Clinical evidence; imaging biomarkers</x:v>
      </x:c>
      <x:c r="G6" s="35" t="str">
        <x:v>₹40L–₹1Cr</x:v>
      </x:c>
      <x:c r="H6" s="35" t="str">
        <x:v>Research</x:v>
      </x:c>
      <x:c r="I6" s="39" t="n">
        <x:v>15</x:v>
      </x:c>
      <x:c r="J6" s="38" t="n">
        <x:v>46357</x:v>
      </x:c>
      <x:c r="K6" s="35" t="str">
        <x:v>Internal build; existing data vendors</x:v>
      </x:c>
      <x:c r="L6" s="35" t="str">
        <x:v>Map India medical, clinical, digital and commercial stakeholders</x:v>
      </x:c>
      <x:c r="M6" s="35" t="str">
        <x:v>Validate India use case and request an appropriate business conversation</x:v>
      </x:c>
      <x:c r="N6" s="35" t="str">
        <x:v>Role verification and internal sponsorship required</x:v>
      </x:c>
      <x:c r="O6" s="35" t="str">
        <x:v>Planned</x:v>
      </x:c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5" t="str">
        <x:v>OPP-002</x:v>
      </x:c>
      <x:c r="B7" s="35" t="str">
        <x:v>ACC-002</x:v>
      </x:c>
      <x:c r="C7" s="35" t="str">
        <x:v>CON-016</x:v>
      </x:c>
      <x:c r="D7" s="35" t="str">
        <x:v>Dr. Reddy’s Laboratories</x:v>
      </x:c>
      <x:c r="E7" s="35" t="str">
        <x:v>Deepak Sapra</x:v>
      </x:c>
      <x:c r="F7" s="35" t="str">
        <x:v>Clinical trials; RWE; digital health</x:v>
      </x:c>
      <x:c r="G7" s="35" t="str">
        <x:v>₹40L–₹1Cr</x:v>
      </x:c>
      <x:c r="H7" s="35" t="str">
        <x:v>Research</x:v>
      </x:c>
      <x:c r="I7" s="39" t="n">
        <x:v>15</x:v>
      </x:c>
      <x:c r="J7" s="38" t="n">
        <x:v>46358</x:v>
      </x:c>
      <x:c r="K7" s="35" t="str">
        <x:v>Internal build; existing data vendors</x:v>
      </x:c>
      <x:c r="L7" s="35" t="str">
        <x:v>Map India medical, clinical, digital and commercial stakeholders</x:v>
      </x:c>
      <x:c r="M7" s="35" t="str">
        <x:v>Validate India use case and request an appropriate business conversation</x:v>
      </x:c>
      <x:c r="N7" s="35" t="str">
        <x:v>Role verification and internal sponsorship required</x:v>
      </x:c>
      <x:c r="O7" s="35" t="str">
        <x:v>Planned</x:v>
      </x:c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 t="str">
        <x:v>OPP-003</x:v>
      </x:c>
      <x:c r="B8" s="35" t="str">
        <x:v>ACC-003</x:v>
      </x:c>
      <x:c r="C8" s="35" t="str">
        <x:v>CON-026</x:v>
      </x:c>
      <x:c r="D8" s="35" t="str">
        <x:v>Cipla</x:v>
      </x:c>
      <x:c r="E8" s="35" t="str">
        <x:v>Achin Gupta</x:v>
      </x:c>
      <x:c r="F8" s="35" t="str">
        <x:v>Digital health; RWE; access evidence</x:v>
      </x:c>
      <x:c r="G8" s="35" t="str">
        <x:v>₹40L–₹1Cr</x:v>
      </x:c>
      <x:c r="H8" s="35" t="str">
        <x:v>Research</x:v>
      </x:c>
      <x:c r="I8" s="39" t="n">
        <x:v>15</x:v>
      </x:c>
      <x:c r="J8" s="38" t="n">
        <x:v>46359</x:v>
      </x:c>
      <x:c r="K8" s="35" t="str">
        <x:v>Internal build; existing data vendors</x:v>
      </x:c>
      <x:c r="L8" s="35" t="str">
        <x:v>Map India medical, clinical, digital and commercial stakeholders</x:v>
      </x:c>
      <x:c r="M8" s="35" t="str">
        <x:v>Validate India use case and request an appropriate business conversation</x:v>
      </x:c>
      <x:c r="N8" s="35" t="str">
        <x:v>Role verification and internal sponsorship required</x:v>
      </x:c>
      <x:c r="O8" s="35" t="str">
        <x:v>Planned</x:v>
      </x:c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 t="str">
        <x:v>OPP-004</x:v>
      </x:c>
      <x:c r="B9" s="35" t="str">
        <x:v>ACC-004</x:v>
      </x:c>
      <x:c r="C9" s="35" t="str">
        <x:v>CON-031</x:v>
      </x:c>
      <x:c r="D9" s="35" t="str">
        <x:v>Biocon</x:v>
      </x:c>
      <x:c r="E9" s="35" t="str">
        <x:v>Shreehas P Tambe</x:v>
      </x:c>
      <x:c r="F9" s="35" t="str">
        <x:v>Clinical development; medical affairs</x:v>
      </x:c>
      <x:c r="G9" s="35" t="str">
        <x:v>₹40L–₹1Cr</x:v>
      </x:c>
      <x:c r="H9" s="35" t="str">
        <x:v>Research</x:v>
      </x:c>
      <x:c r="I9" s="39" t="n">
        <x:v>15</x:v>
      </x:c>
      <x:c r="J9" s="38" t="n">
        <x:v>46360</x:v>
      </x:c>
      <x:c r="K9" s="35" t="str">
        <x:v>Internal build; existing data vendors</x:v>
      </x:c>
      <x:c r="L9" s="35" t="str">
        <x:v>Map India medical, clinical, digital and commercial stakeholders</x:v>
      </x:c>
      <x:c r="M9" s="35" t="str">
        <x:v>Validate India use case and request an appropriate business conversation</x:v>
      </x:c>
      <x:c r="N9" s="35" t="str">
        <x:v>Role verification and internal sponsorship required</x:v>
      </x:c>
      <x:c r="O9" s="35" t="str">
        <x:v>Planned</x:v>
      </x:c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 t="str">
        <x:v>OPP-005</x:v>
      </x:c>
      <x:c r="B10" s="35" t="str">
        <x:v>ACC-005</x:v>
      </x:c>
      <x:c r="C10" s="35" t="str">
        <x:v>CON-043</x:v>
      </x:c>
      <x:c r="D10" s="35" t="str">
        <x:v>Lupin</x:v>
      </x:c>
      <x:c r="E10" s="35" t="str">
        <x:v>Manju D Gupta</x:v>
      </x:c>
      <x:c r="F10" s="35" t="str">
        <x:v>Clinical development; digital health</x:v>
      </x:c>
      <x:c r="G10" s="35" t="str">
        <x:v>₹40L–₹1Cr</x:v>
      </x:c>
      <x:c r="H10" s="35" t="str">
        <x:v>Research</x:v>
      </x:c>
      <x:c r="I10" s="39" t="n">
        <x:v>15</x:v>
      </x:c>
      <x:c r="J10" s="38" t="n">
        <x:v>46361</x:v>
      </x:c>
      <x:c r="K10" s="35" t="str">
        <x:v>Internal build; existing data vendors</x:v>
      </x:c>
      <x:c r="L10" s="35" t="str">
        <x:v>Map India medical, clinical, digital and commercial stakeholders</x:v>
      </x:c>
      <x:c r="M10" s="35" t="str">
        <x:v>Validate India use case and request an appropriate business conversation</x:v>
      </x:c>
      <x:c r="N10" s="35" t="str">
        <x:v>Role verification and internal sponsorship required</x:v>
      </x:c>
      <x:c r="O10" s="35" t="str">
        <x:v>Planned</x:v>
      </x:c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 t="str">
        <x:v>OPP-006</x:v>
      </x:c>
      <x:c r="B11" s="35" t="str">
        <x:v>ACC-006</x:v>
      </x:c>
      <x:c r="C11" s="35" t="str">
        <x:v>CON-059</x:v>
      </x:c>
      <x:c r="D11" s="35" t="str">
        <x:v>Aurobindo Pharma</x:v>
      </x:c>
      <x:c r="E11" s="35" t="str">
        <x:v>Mangalam Ramasubramanian Kumar</x:v>
      </x:c>
      <x:c r="F11" s="35" t="str">
        <x:v>Clinical development; MedTech integration</x:v>
      </x:c>
      <x:c r="G11" s="35" t="str">
        <x:v>₹40L–₹1Cr</x:v>
      </x:c>
      <x:c r="H11" s="35" t="str">
        <x:v>Research</x:v>
      </x:c>
      <x:c r="I11" s="39" t="n">
        <x:v>15</x:v>
      </x:c>
      <x:c r="J11" s="38" t="n">
        <x:v>46362</x:v>
      </x:c>
      <x:c r="K11" s="35" t="str">
        <x:v>Internal build; existing data vendors</x:v>
      </x:c>
      <x:c r="L11" s="35" t="str">
        <x:v>Map India medical, clinical, digital and commercial stakeholders</x:v>
      </x:c>
      <x:c r="M11" s="35" t="str">
        <x:v>Validate India use case and request an appropriate business conversation</x:v>
      </x:c>
      <x:c r="N11" s="35" t="str">
        <x:v>Role verification and internal sponsorship required</x:v>
      </x:c>
      <x:c r="O11" s="35" t="str">
        <x:v>Planned</x:v>
      </x:c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 t="str">
        <x:v>OPP-007</x:v>
      </x:c>
      <x:c r="B12" s="35" t="str">
        <x:v>ACC-007</x:v>
      </x:c>
      <x:c r="C12" s="35" t="str">
        <x:v>CON-068</x:v>
      </x:c>
      <x:c r="D12" s="35" t="str">
        <x:v>Alembic Pharmaceuticals</x:v>
      </x:c>
      <x:c r="E12" s="35" t="str">
        <x:v>Chirayu Amin</x:v>
      </x:c>
      <x:c r="F12" s="35" t="str">
        <x:v>Clinical development; commercial evidence</x:v>
      </x:c>
      <x:c r="G12" s="35" t="str">
        <x:v>₹10L–₹40L</x:v>
      </x:c>
      <x:c r="H12" s="35" t="str">
        <x:v>Research</x:v>
      </x:c>
      <x:c r="I12" s="39" t="n">
        <x:v>15</x:v>
      </x:c>
      <x:c r="J12" s="38" t="n">
        <x:v>46363</x:v>
      </x:c>
      <x:c r="K12" s="35" t="str">
        <x:v>Internal build; existing data vendors</x:v>
      </x:c>
      <x:c r="L12" s="35" t="str">
        <x:v>Map India medical, clinical, digital and commercial stakeholders</x:v>
      </x:c>
      <x:c r="M12" s="35" t="str">
        <x:v>Validate India use case and request an appropriate business conversation</x:v>
      </x:c>
      <x:c r="N12" s="35" t="str">
        <x:v>Role verification and internal sponsorship required</x:v>
      </x:c>
      <x:c r="O12" s="35" t="str">
        <x:v>Planned</x:v>
      </x:c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 t="str">
        <x:v>OPP-008</x:v>
      </x:c>
      <x:c r="B13" s="35" t="str">
        <x:v>ACC-008</x:v>
      </x:c>
      <x:c r="C13" s="35" t="str">
        <x:v>CON-074</x:v>
      </x:c>
      <x:c r="D13" s="35" t="str">
        <x:v>GSK India</x:v>
      </x:c>
      <x:c r="E13" s="35" t="str">
        <x:v>Bhushan Akshikar</x:v>
      </x:c>
      <x:c r="F13" s="35" t="str">
        <x:v>Medical affairs; RWE; India pilots</x:v>
      </x:c>
      <x:c r="G13" s="35" t="str">
        <x:v>₹40L–₹1Cr</x:v>
      </x:c>
      <x:c r="H13" s="35" t="str">
        <x:v>Research</x:v>
      </x:c>
      <x:c r="I13" s="39" t="n">
        <x:v>15</x:v>
      </x:c>
      <x:c r="J13" s="38" t="n">
        <x:v>46364</x:v>
      </x:c>
      <x:c r="K13" s="35" t="str">
        <x:v>Internal build; existing data vendors</x:v>
      </x:c>
      <x:c r="L13" s="35" t="str">
        <x:v>Map India medical, clinical, digital and commercial stakeholders</x:v>
      </x:c>
      <x:c r="M13" s="35" t="str">
        <x:v>Validate India use case and request an appropriate business conversation</x:v>
      </x:c>
      <x:c r="N13" s="35" t="str">
        <x:v>Role verification and internal sponsorship required</x:v>
      </x:c>
      <x:c r="O13" s="35" t="str">
        <x:v>Planned</x:v>
      </x:c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 t="str">
        <x:v>OPP-009</x:v>
      </x:c>
      <x:c r="B14" s="35" t="str">
        <x:v>ACC-009</x:v>
      </x:c>
      <x:c r="C14" s="35" t="str">
        <x:v>CON-088</x:v>
      </x:c>
      <x:c r="D14" s="35" t="str">
        <x:v>Zydus Lifesciences</x:v>
      </x:c>
      <x:c r="E14" s="35" t="str">
        <x:v>Pankaj Patel</x:v>
      </x:c>
      <x:c r="F14" s="35" t="str">
        <x:v>Clinical development; diagnostics</x:v>
      </x:c>
      <x:c r="G14" s="35" t="str">
        <x:v>₹40L–₹1Cr</x:v>
      </x:c>
      <x:c r="H14" s="35" t="str">
        <x:v>Research</x:v>
      </x:c>
      <x:c r="I14" s="39" t="n">
        <x:v>15</x:v>
      </x:c>
      <x:c r="J14" s="38" t="n">
        <x:v>46365</x:v>
      </x:c>
      <x:c r="K14" s="35" t="str">
        <x:v>Internal build; existing data vendors</x:v>
      </x:c>
      <x:c r="L14" s="35" t="str">
        <x:v>Map India medical, clinical, digital and commercial stakeholders</x:v>
      </x:c>
      <x:c r="M14" s="35" t="str">
        <x:v>Validate India use case and request an appropriate business conversation</x:v>
      </x:c>
      <x:c r="N14" s="35" t="str">
        <x:v>Role verification and internal sponsorship required</x:v>
      </x:c>
      <x:c r="O14" s="35" t="str">
        <x:v>Planned</x:v>
      </x:c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 t="str">
        <x:v>OPP-010</x:v>
      </x:c>
      <x:c r="B15" s="35" t="str">
        <x:v>ACC-010</x:v>
      </x:c>
      <x:c r="C15" s="35" t="str">
        <x:v>CON-093</x:v>
      </x:c>
      <x:c r="D15" s="35" t="str">
        <x:v>Torrent Pharmaceuticals</x:v>
      </x:c>
      <x:c r="E15" s="35" t="str">
        <x:v>Samir Mehta</x:v>
      </x:c>
      <x:c r="F15" s="35" t="str">
        <x:v>RWE; commercial evidence</x:v>
      </x:c>
      <x:c r="G15" s="35" t="str">
        <x:v>₹10L–₹40L</x:v>
      </x:c>
      <x:c r="H15" s="35" t="str">
        <x:v>Research</x:v>
      </x:c>
      <x:c r="I15" s="39" t="n">
        <x:v>15</x:v>
      </x:c>
      <x:c r="J15" s="38" t="n">
        <x:v>46366</x:v>
      </x:c>
      <x:c r="K15" s="35" t="str">
        <x:v>Internal build; existing data vendors</x:v>
      </x:c>
      <x:c r="L15" s="35" t="str">
        <x:v>Map India medical, clinical, digital and commercial stakeholders</x:v>
      </x:c>
      <x:c r="M15" s="35" t="str">
        <x:v>Validate India use case and request an appropriate business conversation</x:v>
      </x:c>
      <x:c r="N15" s="35" t="str">
        <x:v>Role verification and internal sponsorship required</x:v>
      </x:c>
      <x:c r="O15" s="35" t="str">
        <x:v>Planned</x:v>
      </x:c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 t="str">
        <x:v>OPP-011</x:v>
      </x:c>
      <x:c r="B16" s="35" t="str">
        <x:v>ACC-011</x:v>
      </x:c>
      <x:c r="C16" s="35" t="str">
        <x:v>CON-096</x:v>
      </x:c>
      <x:c r="D16" s="35" t="str">
        <x:v>Mankind Pharma</x:v>
      </x:c>
      <x:c r="E16" s="35" t="str">
        <x:v>R C Juneja</x:v>
      </x:c>
      <x:c r="F16" s="35" t="str">
        <x:v>India evidence; commercial partnerships</x:v>
      </x:c>
      <x:c r="G16" s="35" t="str">
        <x:v>₹10L–₹40L</x:v>
      </x:c>
      <x:c r="H16" s="35" t="str">
        <x:v>Research</x:v>
      </x:c>
      <x:c r="I16" s="39" t="n">
        <x:v>15</x:v>
      </x:c>
      <x:c r="J16" s="38" t="n">
        <x:v>46367</x:v>
      </x:c>
      <x:c r="K16" s="35" t="str">
        <x:v>Internal build; existing data vendors</x:v>
      </x:c>
      <x:c r="L16" s="35" t="str">
        <x:v>Map India medical, clinical, digital and commercial stakeholders</x:v>
      </x:c>
      <x:c r="M16" s="35" t="str">
        <x:v>Validate India use case and request an appropriate business conversation</x:v>
      </x:c>
      <x:c r="N16" s="35" t="str">
        <x:v>Role verification and internal sponsorship required</x:v>
      </x:c>
      <x:c r="O16" s="35" t="str">
        <x:v>Planned</x:v>
      </x:c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 t="str">
        <x:v>OPP-012</x:v>
      </x:c>
      <x:c r="B17" s="35" t="str">
        <x:v>ACC-012</x:v>
      </x:c>
      <x:c r="C17" s="35" t="str">
        <x:v>CON-099</x:v>
      </x:c>
      <x:c r="D17" s="35" t="str">
        <x:v>Emcure Pharmaceuticals</x:v>
      </x:c>
      <x:c r="E17" s="35" t="str">
        <x:v>Satish Mehta</x:v>
      </x:c>
      <x:c r="F17" s="35" t="str">
        <x:v>Clinical trials; medical affairs</x:v>
      </x:c>
      <x:c r="G17" s="35" t="str">
        <x:v>₹10L–₹40L</x:v>
      </x:c>
      <x:c r="H17" s="35" t="str">
        <x:v>Research</x:v>
      </x:c>
      <x:c r="I17" s="39" t="n">
        <x:v>15</x:v>
      </x:c>
      <x:c r="J17" s="38" t="n">
        <x:v>46368</x:v>
      </x:c>
      <x:c r="K17" s="35" t="str">
        <x:v>Internal build; existing data vendors</x:v>
      </x:c>
      <x:c r="L17" s="35" t="str">
        <x:v>Map India medical, clinical, digital and commercial stakeholders</x:v>
      </x:c>
      <x:c r="M17" s="35" t="str">
        <x:v>Validate India use case and request an appropriate business conversation</x:v>
      </x:c>
      <x:c r="N17" s="35" t="str">
        <x:v>Role verification and internal sponsorship required</x:v>
      </x:c>
      <x:c r="O17" s="35" t="str">
        <x:v>Planned</x:v>
      </x:c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 t="str">
        <x:v>OPP-013</x:v>
      </x:c>
      <x:c r="B18" s="35" t="str">
        <x:v>ACC-013</x:v>
      </x:c>
      <x:c r="C18" s="35" t="str"/>
      <x:c r="D18" s="35" t="str">
        <x:v>Glenmark Pharmaceuticals</x:v>
      </x:c>
      <x:c r="E18" s="35" t="str">
        <x:v>Unassigned - contact research required</x:v>
      </x:c>
      <x:c r="F18" s="35" t="str">
        <x:v>Clinical development; RWE</x:v>
      </x:c>
      <x:c r="G18" s="35" t="str">
        <x:v>₹10L–₹40L</x:v>
      </x:c>
      <x:c r="H18" s="35" t="str">
        <x:v>Research</x:v>
      </x:c>
      <x:c r="I18" s="39" t="n">
        <x:v>15</x:v>
      </x:c>
      <x:c r="J18" s="38" t="n">
        <x:v>46369</x:v>
      </x:c>
      <x:c r="K18" s="35" t="str">
        <x:v>Internal build; existing data vendors</x:v>
      </x:c>
      <x:c r="L18" s="35" t="str">
        <x:v>Map India medical, clinical, digital and commercial stakeholders</x:v>
      </x:c>
      <x:c r="M18" s="35" t="str">
        <x:v>Validate India use case and request an appropriate business conversation</x:v>
      </x:c>
      <x:c r="N18" s="35" t="str">
        <x:v>Role verification and internal sponsorship required</x:v>
      </x:c>
      <x:c r="O18" s="35" t="str">
        <x:v>Planned</x:v>
      </x:c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 t="str">
        <x:v>OPP-014</x:v>
      </x:c>
      <x:c r="B19" s="35" t="str">
        <x:v>ACC-014</x:v>
      </x:c>
      <x:c r="C19" s="35" t="str"/>
      <x:c r="D19" s="35" t="str">
        <x:v>Alkem Laboratories</x:v>
      </x:c>
      <x:c r="E19" s="35" t="str">
        <x:v>Unassigned - contact research required</x:v>
      </x:c>
      <x:c r="F19" s="35" t="str">
        <x:v>Commercial evidence; RWE</x:v>
      </x:c>
      <x:c r="G19" s="35" t="str">
        <x:v>₹10L–₹40L</x:v>
      </x:c>
      <x:c r="H19" s="35" t="str">
        <x:v>Research</x:v>
      </x:c>
      <x:c r="I19" s="39" t="n">
        <x:v>15</x:v>
      </x:c>
      <x:c r="J19" s="38" t="n">
        <x:v>46370</x:v>
      </x:c>
      <x:c r="K19" s="35" t="str">
        <x:v>Internal build; existing data vendors</x:v>
      </x:c>
      <x:c r="L19" s="35" t="str">
        <x:v>Map India medical, clinical, digital and commercial stakeholders</x:v>
      </x:c>
      <x:c r="M19" s="35" t="str">
        <x:v>Validate India use case and request an appropriate business conversation</x:v>
      </x:c>
      <x:c r="N19" s="35" t="str">
        <x:v>Role verification and internal sponsorship required</x:v>
      </x:c>
      <x:c r="O19" s="35" t="str">
        <x:v>Planned</x:v>
      </x:c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 t="str">
        <x:v>OPP-015</x:v>
      </x:c>
      <x:c r="B20" s="35" t="str">
        <x:v>ACC-015</x:v>
      </x:c>
      <x:c r="C20" s="35" t="str"/>
      <x:c r="D20" s="35" t="str">
        <x:v>Intas Pharmaceuticals</x:v>
      </x:c>
      <x:c r="E20" s="35" t="str">
        <x:v>Unassigned - contact research required</x:v>
      </x:c>
      <x:c r="F20" s="35" t="str">
        <x:v>Clinical development; imaging biomarkers</x:v>
      </x:c>
      <x:c r="G20" s="35" t="str">
        <x:v>₹40L–₹1Cr</x:v>
      </x:c>
      <x:c r="H20" s="35" t="str">
        <x:v>Research</x:v>
      </x:c>
      <x:c r="I20" s="39" t="n">
        <x:v>15</x:v>
      </x:c>
      <x:c r="J20" s="38" t="n">
        <x:v>46371</x:v>
      </x:c>
      <x:c r="K20" s="35" t="str">
        <x:v>Internal build; existing data vendors</x:v>
      </x:c>
      <x:c r="L20" s="35" t="str">
        <x:v>Map India medical, clinical, digital and commercial stakeholders</x:v>
      </x:c>
      <x:c r="M20" s="35" t="str">
        <x:v>Validate India use case and request an appropriate business conversation</x:v>
      </x:c>
      <x:c r="N20" s="35" t="str">
        <x:v>Role verification and internal sponsorship required</x:v>
      </x:c>
      <x:c r="O20" s="35" t="str">
        <x:v>Planned</x:v>
      </x:c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 t="str">
        <x:v>OPP-016</x:v>
      </x:c>
      <x:c r="B21" s="35" t="str">
        <x:v>ACC-016</x:v>
      </x:c>
      <x:c r="C21" s="35" t="str"/>
      <x:c r="D21" s="35" t="str">
        <x:v>Serum Institute of India</x:v>
      </x:c>
      <x:c r="E21" s="35" t="str">
        <x:v>Unassigned - contact research required</x:v>
      </x:c>
      <x:c r="F21" s="35" t="str">
        <x:v>Clinical development; RWE</x:v>
      </x:c>
      <x:c r="G21" s="35" t="str">
        <x:v>₹40L–₹1Cr</x:v>
      </x:c>
      <x:c r="H21" s="35" t="str">
        <x:v>Research</x:v>
      </x:c>
      <x:c r="I21" s="39" t="n">
        <x:v>15</x:v>
      </x:c>
      <x:c r="J21" s="38" t="n">
        <x:v>46372</x:v>
      </x:c>
      <x:c r="K21" s="35" t="str">
        <x:v>Internal build; existing data vendors</x:v>
      </x:c>
      <x:c r="L21" s="35" t="str">
        <x:v>Map India medical, clinical, digital and commercial stakeholders</x:v>
      </x:c>
      <x:c r="M21" s="35" t="str">
        <x:v>Validate India use case and request an appropriate business conversation</x:v>
      </x:c>
      <x:c r="N21" s="35" t="str">
        <x:v>Role verification and internal sponsorship required</x:v>
      </x:c>
      <x:c r="O21" s="35" t="str">
        <x:v>Planned</x:v>
      </x:c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 t="str">
        <x:v>OPP-017</x:v>
      </x:c>
      <x:c r="B22" s="35" t="str">
        <x:v>ACC-017</x:v>
      </x:c>
      <x:c r="C22" s="35" t="str"/>
      <x:c r="D22" s="35" t="str">
        <x:v>Bharat Biotech</x:v>
      </x:c>
      <x:c r="E22" s="35" t="str">
        <x:v>Unassigned - contact research required</x:v>
      </x:c>
      <x:c r="F22" s="35" t="str">
        <x:v>Clinical development; imaging biomarkers</x:v>
      </x:c>
      <x:c r="G22" s="35" t="str">
        <x:v>₹40L–₹1Cr</x:v>
      </x:c>
      <x:c r="H22" s="35" t="str">
        <x:v>Research</x:v>
      </x:c>
      <x:c r="I22" s="39" t="n">
        <x:v>15</x:v>
      </x:c>
      <x:c r="J22" s="38" t="n">
        <x:v>46373</x:v>
      </x:c>
      <x:c r="K22" s="35" t="str">
        <x:v>Internal build; existing data vendors</x:v>
      </x:c>
      <x:c r="L22" s="35" t="str">
        <x:v>Map India medical, clinical, digital and commercial stakeholders</x:v>
      </x:c>
      <x:c r="M22" s="35" t="str">
        <x:v>Validate India use case and request an appropriate business conversation</x:v>
      </x:c>
      <x:c r="N22" s="35" t="str">
        <x:v>Role verification and internal sponsorship required</x:v>
      </x:c>
      <x:c r="O22" s="35" t="str">
        <x:v>Planned</x:v>
      </x:c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 t="str">
        <x:v>OPP-018</x:v>
      </x:c>
      <x:c r="B23" s="35" t="str">
        <x:v>ACC-018</x:v>
      </x:c>
      <x:c r="C23" s="35" t="str"/>
      <x:c r="D23" s="35" t="str">
        <x:v>Tata Medical and Diagnostics</x:v>
      </x:c>
      <x:c r="E23" s="35" t="str">
        <x:v>Unassigned - contact research required</x:v>
      </x:c>
      <x:c r="F23" s="35" t="str">
        <x:v>Diagnostics AI; clinical workflow</x:v>
      </x:c>
      <x:c r="G23" s="35" t="str">
        <x:v>₹40L–₹1Cr</x:v>
      </x:c>
      <x:c r="H23" s="35" t="str">
        <x:v>Research</x:v>
      </x:c>
      <x:c r="I23" s="39" t="n">
        <x:v>15</x:v>
      </x:c>
      <x:c r="J23" s="38" t="n">
        <x:v>46374</x:v>
      </x:c>
      <x:c r="K23" s="35" t="str">
        <x:v>Internal build; existing data vendors</x:v>
      </x:c>
      <x:c r="L23" s="35" t="str">
        <x:v>Map India medical, clinical, digital and commercial stakeholders</x:v>
      </x:c>
      <x:c r="M23" s="35" t="str">
        <x:v>Validate India use case and request an appropriate business conversation</x:v>
      </x:c>
      <x:c r="N23" s="35" t="str">
        <x:v>Role verification and internal sponsorship required</x:v>
      </x:c>
      <x:c r="O23" s="35" t="str">
        <x:v>Planned</x:v>
      </x:c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 t="str">
        <x:v>OPP-019</x:v>
      </x:c>
      <x:c r="B24" s="35" t="str">
        <x:v>ACC-019</x:v>
      </x:c>
      <x:c r="C24" s="35" t="str"/>
      <x:c r="D24" s="35" t="str">
        <x:v>Trivitron Healthcare</x:v>
      </x:c>
      <x:c r="E24" s="35" t="str">
        <x:v>Unassigned - contact research required</x:v>
      </x:c>
      <x:c r="F24" s="35" t="str">
        <x:v>AI imaging and diagnostics</x:v>
      </x:c>
      <x:c r="G24" s="35" t="str">
        <x:v>₹40L–₹1Cr</x:v>
      </x:c>
      <x:c r="H24" s="35" t="str">
        <x:v>Research</x:v>
      </x:c>
      <x:c r="I24" s="39" t="n">
        <x:v>15</x:v>
      </x:c>
      <x:c r="J24" s="38" t="n">
        <x:v>46375</x:v>
      </x:c>
      <x:c r="K24" s="35" t="str">
        <x:v>Internal build; existing data vendors</x:v>
      </x:c>
      <x:c r="L24" s="35" t="str">
        <x:v>Map India medical, clinical, digital and commercial stakeholders</x:v>
      </x:c>
      <x:c r="M24" s="35" t="str">
        <x:v>Validate India use case and request an appropriate business conversation</x:v>
      </x:c>
      <x:c r="N24" s="35" t="str">
        <x:v>Role verification and internal sponsorship required</x:v>
      </x:c>
      <x:c r="O24" s="35" t="str">
        <x:v>Planned</x:v>
      </x:c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 t="str">
        <x:v>OPP-020</x:v>
      </x:c>
      <x:c r="B25" s="35" t="str">
        <x:v>ACC-020</x:v>
      </x:c>
      <x:c r="C25" s="35" t="str"/>
      <x:c r="D25" s="35" t="str">
        <x:v>Molbio Diagnostics</x:v>
      </x:c>
      <x:c r="E25" s="35" t="str">
        <x:v>Unassigned - contact research required</x:v>
      </x:c>
      <x:c r="F25" s="35" t="str">
        <x:v>Diagnostics AI; clinical workflow</x:v>
      </x:c>
      <x:c r="G25" s="35" t="str">
        <x:v>₹10L–₹40L</x:v>
      </x:c>
      <x:c r="H25" s="35" t="str">
        <x:v>Research</x:v>
      </x:c>
      <x:c r="I25" s="39" t="n">
        <x:v>15</x:v>
      </x:c>
      <x:c r="J25" s="38" t="n">
        <x:v>46376</x:v>
      </x:c>
      <x:c r="K25" s="35" t="str">
        <x:v>Internal build; existing data vendors</x:v>
      </x:c>
      <x:c r="L25" s="35" t="str">
        <x:v>Map India medical, clinical, digital and commercial stakeholders</x:v>
      </x:c>
      <x:c r="M25" s="35" t="str">
        <x:v>Validate India use case and request an appropriate business conversation</x:v>
      </x:c>
      <x:c r="N25" s="35" t="str">
        <x:v>Role verification and internal sponsorship required</x:v>
      </x:c>
      <x:c r="O25" s="35" t="str">
        <x:v>Planned</x:v>
      </x:c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 t="str">
        <x:v>OPP-021</x:v>
      </x:c>
      <x:c r="B26" s="35" t="str">
        <x:v>ACC-021</x:v>
      </x:c>
      <x:c r="C26" s="35" t="str"/>
      <x:c r="D26" s="35" t="str">
        <x:v>HealthCare Global Enterprises</x:v>
      </x:c>
      <x:c r="E26" s="35" t="str">
        <x:v>Unassigned - contact research required</x:v>
      </x:c>
      <x:c r="F26" s="35" t="str">
        <x:v>Imaging workflow; clinical research</x:v>
      </x:c>
      <x:c r="G26" s="35" t="str">
        <x:v>₹40L–₹1Cr</x:v>
      </x:c>
      <x:c r="H26" s="35" t="str">
        <x:v>Research</x:v>
      </x:c>
      <x:c r="I26" s="39" t="n">
        <x:v>15</x:v>
      </x:c>
      <x:c r="J26" s="38" t="n">
        <x:v>46357</x:v>
      </x:c>
      <x:c r="K26" s="35" t="str">
        <x:v>Internal build; existing data vendors</x:v>
      </x:c>
      <x:c r="L26" s="35" t="str">
        <x:v>Map India medical, clinical, digital and commercial stakeholders</x:v>
      </x:c>
      <x:c r="M26" s="35" t="str">
        <x:v>Validate India use case and request an appropriate business conversation</x:v>
      </x:c>
      <x:c r="N26" s="35" t="str">
        <x:v>Role verification and internal sponsorship required</x:v>
      </x:c>
      <x:c r="O26" s="35" t="str">
        <x:v>Planned</x:v>
      </x:c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 t="str">
        <x:v>OPP-022</x:v>
      </x:c>
      <x:c r="B27" s="35" t="str">
        <x:v>ACC-022</x:v>
      </x:c>
      <x:c r="C27" s="35" t="str"/>
      <x:c r="D27" s="35" t="str">
        <x:v>Apollo Hospitals Enterprise</x:v>
      </x:c>
      <x:c r="E27" s="35" t="str">
        <x:v>Unassigned - contact research required</x:v>
      </x:c>
      <x:c r="F27" s="35" t="str">
        <x:v>Imaging AI; enterprise clinical workflow</x:v>
      </x:c>
      <x:c r="G27" s="35" t="str">
        <x:v>₹40L–₹1Cr</x:v>
      </x:c>
      <x:c r="H27" s="35" t="str">
        <x:v>Research</x:v>
      </x:c>
      <x:c r="I27" s="39" t="n">
        <x:v>15</x:v>
      </x:c>
      <x:c r="J27" s="38" t="n">
        <x:v>46358</x:v>
      </x:c>
      <x:c r="K27" s="35" t="str">
        <x:v>Internal build; existing data vendors</x:v>
      </x:c>
      <x:c r="L27" s="35" t="str">
        <x:v>Map India medical, clinical, digital and commercial stakeholders</x:v>
      </x:c>
      <x:c r="M27" s="35" t="str">
        <x:v>Validate India use case and request an appropriate business conversation</x:v>
      </x:c>
      <x:c r="N27" s="35" t="str">
        <x:v>Role verification and internal sponsorship required</x:v>
      </x:c>
      <x:c r="O27" s="35" t="str">
        <x:v>Planned</x:v>
      </x:c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 t="str">
        <x:v>OPP-023</x:v>
      </x:c>
      <x:c r="B28" s="35" t="str">
        <x:v>ACC-023</x:v>
      </x:c>
      <x:c r="C28" s="35" t="str"/>
      <x:c r="D28" s="35" t="str">
        <x:v>Metropolis Healthcare</x:v>
      </x:c>
      <x:c r="E28" s="35" t="str">
        <x:v>Unassigned - contact research required</x:v>
      </x:c>
      <x:c r="F28" s="35" t="str">
        <x:v>Diagnostics AI; commercial evidence</x:v>
      </x:c>
      <x:c r="G28" s="35" t="str">
        <x:v>₹10L–₹40L</x:v>
      </x:c>
      <x:c r="H28" s="35" t="str">
        <x:v>Research</x:v>
      </x:c>
      <x:c r="I28" s="39" t="n">
        <x:v>15</x:v>
      </x:c>
      <x:c r="J28" s="38" t="n">
        <x:v>46359</x:v>
      </x:c>
      <x:c r="K28" s="35" t="str">
        <x:v>Internal build; existing data vendors</x:v>
      </x:c>
      <x:c r="L28" s="35" t="str">
        <x:v>Map India medical, clinical, digital and commercial stakeholders</x:v>
      </x:c>
      <x:c r="M28" s="35" t="str">
        <x:v>Validate India use case and request an appropriate business conversation</x:v>
      </x:c>
      <x:c r="N28" s="35" t="str">
        <x:v>Role verification and internal sponsorship required</x:v>
      </x:c>
      <x:c r="O28" s="35" t="str">
        <x:v>Planned</x:v>
      </x:c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 t="str">
        <x:v>OPP-024</x:v>
      </x:c>
      <x:c r="B29" s="35" t="str">
        <x:v>ACC-024</x:v>
      </x:c>
      <x:c r="C29" s="35" t="str"/>
      <x:c r="D29" s="35" t="str">
        <x:v>Dr. Lal PathLabs</x:v>
      </x:c>
      <x:c r="E29" s="35" t="str">
        <x:v>Unassigned - contact research required</x:v>
      </x:c>
      <x:c r="F29" s="35" t="str">
        <x:v>Diagnostics AI; workflow</x:v>
      </x:c>
      <x:c r="G29" s="35" t="str">
        <x:v>₹10L–₹40L</x:v>
      </x:c>
      <x:c r="H29" s="35" t="str">
        <x:v>Research</x:v>
      </x:c>
      <x:c r="I29" s="39" t="n">
        <x:v>15</x:v>
      </x:c>
      <x:c r="J29" s="38" t="n">
        <x:v>46360</x:v>
      </x:c>
      <x:c r="K29" s="35" t="str">
        <x:v>Internal build; existing data vendors</x:v>
      </x:c>
      <x:c r="L29" s="35" t="str">
        <x:v>Map India medical, clinical, digital and commercial stakeholders</x:v>
      </x:c>
      <x:c r="M29" s="35" t="str">
        <x:v>Validate India use case and request an appropriate business conversation</x:v>
      </x:c>
      <x:c r="N29" s="35" t="str">
        <x:v>Role verification and internal sponsorship required</x:v>
      </x:c>
      <x:c r="O29" s="35" t="str">
        <x:v>Planned</x:v>
      </x:c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 t="str">
        <x:v>OPP-025</x:v>
      </x:c>
      <x:c r="B30" s="35" t="str">
        <x:v>ACC-025</x:v>
      </x:c>
      <x:c r="C30" s="35" t="str"/>
      <x:c r="D30" s="35" t="str">
        <x:v>Narayana Health</x:v>
      </x:c>
      <x:c r="E30" s="35" t="str">
        <x:v>Unassigned - contact research required</x:v>
      </x:c>
      <x:c r="F30" s="35" t="str">
        <x:v>Imaging AI; clinical workflow</x:v>
      </x:c>
      <x:c r="G30" s="35" t="str">
        <x:v>₹10L–₹40L</x:v>
      </x:c>
      <x:c r="H30" s="35" t="str">
        <x:v>Research</x:v>
      </x:c>
      <x:c r="I30" s="39" t="n">
        <x:v>15</x:v>
      </x:c>
      <x:c r="J30" s="38" t="n">
        <x:v>46361</x:v>
      </x:c>
      <x:c r="K30" s="35" t="str">
        <x:v>Internal build; existing data vendors</x:v>
      </x:c>
      <x:c r="L30" s="35" t="str">
        <x:v>Map India medical, clinical, digital and commercial stakeholders</x:v>
      </x:c>
      <x:c r="M30" s="35" t="str">
        <x:v>Validate India use case and request an appropriate business conversation</x:v>
      </x:c>
      <x:c r="N30" s="35" t="str">
        <x:v>Role verification and internal sponsorship required</x:v>
      </x:c>
      <x:c r="O30" s="35" t="str">
        <x:v>Planned</x:v>
      </x:c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</x:sheetData>
  <x:conditionalFormatting sqref="G6:G30">
    <x:cfRule type="containsText" dxfId="1" priority="1" operator="containsText" text="$500K"/>
  </x:conditionalFormatting>
  <x:dataValidations count="2">
    <x:dataValidation type="list" sqref="H6:H30">
      <x:formula1>Lists!$C$6:$C$12</x:formula1>
    </x:dataValidation>
    <x:dataValidation type="list" sqref="O6:O30">
      <x:formula1>Lists!$F$6:$F$10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cb1c60287d4929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5" hidden="0" customWidth="1"/>
    <x:col min="5" max="5" width="25" hidden="0" customWidth="1"/>
    <x:col min="6" max="6" width="32" hidden="0" customWidth="1"/>
    <x:col min="7" max="7" width="34" hidden="0" customWidth="1"/>
    <x:col min="8" max="8" width="17" hidden="0" customWidth="1"/>
    <x:col min="9" max="9" width="18" hidden="0" customWidth="1"/>
    <x:col min="10" max="10" width="45" hidden="0" customWidth="1"/>
    <x:col min="11" max="11" width="15" hidden="0" customWidth="1"/>
  </x:cols>
  <x:sheetData>
    <x:row r="1">
      <x:c r="A1" s="34" t="str">
        <x:v>Outreach &amp; Activities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6" t="str">
        <x:v>Use approved business channels. Do not add scraped or inferred personal contact information.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1" t="str">
        <x:v>Date</x:v>
      </x:c>
      <x:c r="B5" s="31" t="str">
        <x:v>Activity type</x:v>
      </x:c>
      <x:c r="C5" s="31" t="str">
        <x:v>Owner</x:v>
      </x:c>
      <x:c r="D5" s="31" t="str">
        <x:v>Target contact ID</x:v>
      </x:c>
      <x:c r="E5" s="31" t="str">
        <x:v>Target contact</x:v>
      </x:c>
      <x:c r="F5" s="31" t="str">
        <x:v>Outcome</x:v>
      </x:c>
      <x:c r="G5" s="31" t="str">
        <x:v>Next action</x:v>
      </x:c>
      <x:c r="H5" s="31" t="str">
        <x:v>Next-action date</x:v>
      </x:c>
      <x:c r="I5" s="31" t="str">
        <x:v>Follow-up status</x:v>
      </x:c>
      <x:c r="J5" s="31" t="str">
        <x:v>Meeting notes / context</x:v>
      </x:c>
      <x:c r="K5" s="31" t="str">
        <x:v>Automated flag</x:v>
      </x:c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n">
        <x:v>46266</x:v>
      </x:c>
      <x:c r="B6" s="35" t="str">
        <x:v>Research review</x:v>
      </x:c>
      <x:c r="C6" s="35" t="str">
        <x:v>Life Sciences BD - India</x:v>
      </x:c>
      <x:c r="D6" s="35" t="str">
        <x:v>CON-001</x:v>
      </x:c>
      <x:c r="E6" s="35" t="str">
        <x:v>Dilip Shanghvi</x:v>
      </x:c>
      <x:c r="F6" s="35" t="str">
        <x:v>Role and source reviewed</x:v>
      </x:c>
      <x:c r="G6" s="35" t="str">
        <x:v>Verify relevance and approved contact channel</x:v>
      </x:c>
      <x:c r="H6" s="38" t="n">
        <x:v>46296</x:v>
      </x:c>
      <x:c r="I6" s="35" t="str">
        <x:v>Completed</x:v>
      </x:c>
      <x:c r="J6" s="35" t="str">
        <x:v>Use only approved business channels; no inferred email or personal profile URL.</x:v>
      </x:c>
      <x:c r="K6" s="35" t="str">
        <x:f>IF(AND(J6&lt;&gt;"Completed",I6&lt;TODAY()),"OVERDUE",IF(J6="Completed","Complete","Open"))</x:f>
        <x:v>Open</x:v>
      </x:c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8" t="n">
        <x:v>46267</x:v>
      </x:c>
      <x:c r="B7" s="35" t="str">
        <x:v>India outreach preparation</x:v>
      </x:c>
      <x:c r="C7" s="35" t="str">
        <x:v>Life Sciences BD - India</x:v>
      </x:c>
      <x:c r="D7" s="35" t="str">
        <x:v>CON-002</x:v>
      </x:c>
      <x:c r="E7" s="35" t="str">
        <x:v>Kirti Ganorkar</x:v>
      </x:c>
      <x:c r="F7" s="35" t="str">
        <x:v>Pending internal outreach approval</x:v>
      </x:c>
      <x:c r="G7" s="35" t="str">
        <x:v>Verify relevance and approved contact channel</x:v>
      </x:c>
      <x:c r="H7" s="38" t="n">
        <x:v>46297</x:v>
      </x:c>
      <x:c r="I7" s="35" t="str">
        <x:v>Follow-up Due</x:v>
      </x:c>
      <x:c r="J7" s="35" t="str">
        <x:v>Use only approved business channels; no inferred email or personal profile URL.</x:v>
      </x:c>
      <x:c r="K7" s="35" t="str">
        <x:f>IF(AND(J7&lt;&gt;"Completed",I7&lt;TODAY()),"OVERDUE",IF(J7="Completed","Complete","Open"))</x:f>
        <x:v>Open</x:v>
      </x:c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8" t="n">
        <x:v>46268</x:v>
      </x:c>
      <x:c r="B8" s="35" t="str">
        <x:v>India outreach preparation</x:v>
      </x:c>
      <x:c r="C8" s="35" t="str">
        <x:v>Life Sciences BD - India</x:v>
      </x:c>
      <x:c r="D8" s="35" t="str">
        <x:v>CON-003</x:v>
      </x:c>
      <x:c r="E8" s="35" t="str">
        <x:v>Aalok Shanghvi</x:v>
      </x:c>
      <x:c r="F8" s="35" t="str">
        <x:v>Pending internal outreach approval</x:v>
      </x:c>
      <x:c r="G8" s="35" t="str">
        <x:v>Verify relevance and approved contact channel</x:v>
      </x:c>
      <x:c r="H8" s="38" t="n">
        <x:v>46298</x:v>
      </x:c>
      <x:c r="I8" s="35" t="str">
        <x:v>Follow-up Due</x:v>
      </x:c>
      <x:c r="J8" s="35" t="str">
        <x:v>Use only approved business channels; no inferred email or personal profile URL.</x:v>
      </x:c>
      <x:c r="K8" s="35" t="str">
        <x:f>IF(AND(J8&lt;&gt;"Completed",I8&lt;TODAY()),"OVERDUE",IF(J8="Completed","Complete","Open"))</x:f>
        <x:v>Open</x:v>
      </x:c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8" t="n">
        <x:v>46269</x:v>
      </x:c>
      <x:c r="B9" s="35" t="str">
        <x:v>Research review</x:v>
      </x:c>
      <x:c r="C9" s="35" t="str">
        <x:v>Life Sciences BD - India</x:v>
      </x:c>
      <x:c r="D9" s="35" t="str">
        <x:v>CON-004</x:v>
      </x:c>
      <x:c r="E9" s="35" t="str">
        <x:v>Vidhi Shanghvi</x:v>
      </x:c>
      <x:c r="F9" s="35" t="str">
        <x:v>Role and source reviewed</x:v>
      </x:c>
      <x:c r="G9" s="35" t="str">
        <x:v>Verify relevance and approved contact channel</x:v>
      </x:c>
      <x:c r="H9" s="38" t="n">
        <x:v>46299</x:v>
      </x:c>
      <x:c r="I9" s="35" t="str">
        <x:v>Completed</x:v>
      </x:c>
      <x:c r="J9" s="35" t="str">
        <x:v>Use only approved business channels; no inferred email or personal profile URL.</x:v>
      </x:c>
      <x:c r="K9" s="35" t="str">
        <x:f>IF(AND(J9&lt;&gt;"Completed",I9&lt;TODAY()),"OVERDUE",IF(J9="Completed","Complete","Open"))</x:f>
        <x:v>Open</x:v>
      </x:c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8" t="n">
        <x:v>46270</x:v>
      </x:c>
      <x:c r="B10" s="35" t="str">
        <x:v>India outreach preparation</x:v>
      </x:c>
      <x:c r="C10" s="35" t="str">
        <x:v>Life Sciences BD - India</x:v>
      </x:c>
      <x:c r="D10" s="35" t="str">
        <x:v>CON-005</x:v>
      </x:c>
      <x:c r="E10" s="35" t="str">
        <x:v>Pawan Goenka</x:v>
      </x:c>
      <x:c r="F10" s="35" t="str">
        <x:v>Pending internal outreach approval</x:v>
      </x:c>
      <x:c r="G10" s="35" t="str">
        <x:v>Verify relevance and approved contact channel</x:v>
      </x:c>
      <x:c r="H10" s="38" t="n">
        <x:v>46300</x:v>
      </x:c>
      <x:c r="I10" s="35" t="str">
        <x:v>Follow-up Due</x:v>
      </x:c>
      <x:c r="J10" s="35" t="str">
        <x:v>Use only approved business channels; no inferred email or personal profile URL.</x:v>
      </x:c>
      <x:c r="K10" s="35" t="str">
        <x:f>IF(AND(J10&lt;&gt;"Completed",I10&lt;TODAY()),"OVERDUE",IF(J10="Completed","Complete","Open"))</x:f>
        <x:v>Open</x:v>
      </x:c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8" t="n">
        <x:v>46271</x:v>
      </x:c>
      <x:c r="B11" s="35" t="str">
        <x:v>India outreach preparation</x:v>
      </x:c>
      <x:c r="C11" s="35" t="str">
        <x:v>Life Sciences BD - India</x:v>
      </x:c>
      <x:c r="D11" s="35" t="str">
        <x:v>CON-006</x:v>
      </x:c>
      <x:c r="E11" s="35" t="str">
        <x:v>Gautam Doshi</x:v>
      </x:c>
      <x:c r="F11" s="35" t="str">
        <x:v>Pending internal outreach approval</x:v>
      </x:c>
      <x:c r="G11" s="35" t="str">
        <x:v>Verify relevance and approved contact channel</x:v>
      </x:c>
      <x:c r="H11" s="38" t="n">
        <x:v>46301</x:v>
      </x:c>
      <x:c r="I11" s="35" t="str">
        <x:v>Follow-up Due</x:v>
      </x:c>
      <x:c r="J11" s="35" t="str">
        <x:v>Use only approved business channels; no inferred email or personal profile URL.</x:v>
      </x:c>
      <x:c r="K11" s="35" t="str">
        <x:f>IF(AND(J11&lt;&gt;"Completed",I11&lt;TODAY()),"OVERDUE",IF(J11="Completed","Complete","Open"))</x:f>
        <x:v>Open</x:v>
      </x:c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8" t="n">
        <x:v>46272</x:v>
      </x:c>
      <x:c r="B12" s="35" t="str">
        <x:v>Research review</x:v>
      </x:c>
      <x:c r="C12" s="35" t="str">
        <x:v>Life Sciences BD - India</x:v>
      </x:c>
      <x:c r="D12" s="35" t="str">
        <x:v>CON-007</x:v>
      </x:c>
      <x:c r="E12" s="35" t="str">
        <x:v>Andreas Eugen Busch</x:v>
      </x:c>
      <x:c r="F12" s="35" t="str">
        <x:v>Role and source reviewed</x:v>
      </x:c>
      <x:c r="G12" s="35" t="str">
        <x:v>Verify relevance and approved contact channel</x:v>
      </x:c>
      <x:c r="H12" s="38" t="n">
        <x:v>46302</x:v>
      </x:c>
      <x:c r="I12" s="35" t="str">
        <x:v>Completed</x:v>
      </x:c>
      <x:c r="J12" s="35" t="str">
        <x:v>Use only approved business channels; no inferred email or personal profile URL.</x:v>
      </x:c>
      <x:c r="K12" s="35" t="str">
        <x:f>IF(AND(J12&lt;&gt;"Completed",I12&lt;TODAY()),"OVERDUE",IF(J12="Completed","Complete","Open"))</x:f>
        <x:v>Open</x:v>
      </x:c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8" t="n">
        <x:v>46273</x:v>
      </x:c>
      <x:c r="B13" s="35" t="str">
        <x:v>India outreach preparation</x:v>
      </x:c>
      <x:c r="C13" s="35" t="str">
        <x:v>Life Sciences BD - India</x:v>
      </x:c>
      <x:c r="D13" s="35" t="str">
        <x:v>CON-008</x:v>
      </x:c>
      <x:c r="E13" s="35" t="str">
        <x:v>Rolf Hoffmann</x:v>
      </x:c>
      <x:c r="F13" s="35" t="str">
        <x:v>Pending internal outreach approval</x:v>
      </x:c>
      <x:c r="G13" s="35" t="str">
        <x:v>Verify relevance and approved contact channel</x:v>
      </x:c>
      <x:c r="H13" s="38" t="n">
        <x:v>46303</x:v>
      </x:c>
      <x:c r="I13" s="35" t="str">
        <x:v>Follow-up Due</x:v>
      </x:c>
      <x:c r="J13" s="35" t="str">
        <x:v>Use only approved business channels; no inferred email or personal profile URL.</x:v>
      </x:c>
      <x:c r="K13" s="35" t="str">
        <x:f>IF(AND(J13&lt;&gt;"Completed",I13&lt;TODAY()),"OVERDUE",IF(J13="Completed","Complete","Open"))</x:f>
        <x:v>Open</x:v>
      </x:c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8" t="n">
        <x:v>46274</x:v>
      </x:c>
      <x:c r="B14" s="35" t="str">
        <x:v>India outreach preparation</x:v>
      </x:c>
      <x:c r="C14" s="35" t="str">
        <x:v>Life Sciences BD - India</x:v>
      </x:c>
      <x:c r="D14" s="35" t="str">
        <x:v>CON-009</x:v>
      </x:c>
      <x:c r="E14" s="35" t="str">
        <x:v>Satyavati Berera</x:v>
      </x:c>
      <x:c r="F14" s="35" t="str">
        <x:v>Pending internal outreach approval</x:v>
      </x:c>
      <x:c r="G14" s="35" t="str">
        <x:v>Verify relevance and approved contact channel</x:v>
      </x:c>
      <x:c r="H14" s="38" t="n">
        <x:v>46304</x:v>
      </x:c>
      <x:c r="I14" s="35" t="str">
        <x:v>Follow-up Due</x:v>
      </x:c>
      <x:c r="J14" s="35" t="str">
        <x:v>Use only approved business channels; no inferred email or personal profile URL.</x:v>
      </x:c>
      <x:c r="K14" s="35" t="str">
        <x:f>IF(AND(J14&lt;&gt;"Completed",I14&lt;TODAY()),"OVERDUE",IF(J14="Completed","Complete","Open"))</x:f>
        <x:v>Open</x:v>
      </x:c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8" t="n">
        <x:v>46275</x:v>
      </x:c>
      <x:c r="B15" s="35" t="str">
        <x:v>Research review</x:v>
      </x:c>
      <x:c r="C15" s="35" t="str">
        <x:v>Life Sciences BD - India</x:v>
      </x:c>
      <x:c r="D15" s="35" t="str">
        <x:v>CON-010</x:v>
      </x:c>
      <x:c r="E15" s="35" t="str">
        <x:v>Kalyanasundaram Subramanian</x:v>
      </x:c>
      <x:c r="F15" s="35" t="str">
        <x:v>Role and source reviewed</x:v>
      </x:c>
      <x:c r="G15" s="35" t="str">
        <x:v>Verify relevance and approved contact channel</x:v>
      </x:c>
      <x:c r="H15" s="38" t="n">
        <x:v>46305</x:v>
      </x:c>
      <x:c r="I15" s="35" t="str">
        <x:v>Completed</x:v>
      </x:c>
      <x:c r="J15" s="35" t="str">
        <x:v>Use only approved business channels; no inferred email or personal profile URL.</x:v>
      </x:c>
      <x:c r="K15" s="35" t="str">
        <x:f>IF(AND(J15&lt;&gt;"Completed",I15&lt;TODAY()),"OVERDUE",IF(J15="Completed","Complete","Open"))</x:f>
        <x:v>Open</x:v>
      </x:c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8" t="n">
        <x:v>46276</x:v>
      </x:c>
      <x:c r="B16" s="35" t="str">
        <x:v>India outreach preparation</x:v>
      </x:c>
      <x:c r="C16" s="35" t="str">
        <x:v>Life Sciences BD - India</x:v>
      </x:c>
      <x:c r="D16" s="35" t="str">
        <x:v>CON-011</x:v>
      </x:c>
      <x:c r="E16" s="35" t="str">
        <x:v>Jayashree Satagopan</x:v>
      </x:c>
      <x:c r="F16" s="35" t="str">
        <x:v>Pending internal outreach approval</x:v>
      </x:c>
      <x:c r="G16" s="35" t="str">
        <x:v>Verify relevance and approved contact channel</x:v>
      </x:c>
      <x:c r="H16" s="38" t="n">
        <x:v>46306</x:v>
      </x:c>
      <x:c r="I16" s="35" t="str">
        <x:v>Follow-up Due</x:v>
      </x:c>
      <x:c r="J16" s="35" t="str">
        <x:v>Use only approved business channels; no inferred email or personal profile URL.</x:v>
      </x:c>
      <x:c r="K16" s="35" t="str">
        <x:f>IF(AND(J16&lt;&gt;"Completed",I16&lt;TODAY()),"OVERDUE",IF(J16="Completed","Complete","Open"))</x:f>
        <x:v>Open</x:v>
      </x:c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8" t="n">
        <x:v>46277</x:v>
      </x:c>
      <x:c r="B17" s="35" t="str">
        <x:v>India outreach preparation</x:v>
      </x:c>
      <x:c r="C17" s="35" t="str">
        <x:v>Life Sciences BD - India</x:v>
      </x:c>
      <x:c r="D17" s="35" t="str">
        <x:v>CON-012</x:v>
      </x:c>
      <x:c r="E17" s="35" t="str">
        <x:v>Anoop Deshpande</x:v>
      </x:c>
      <x:c r="F17" s="35" t="str">
        <x:v>Pending internal outreach approval</x:v>
      </x:c>
      <x:c r="G17" s="35" t="str">
        <x:v>Verify relevance and approved contact channel</x:v>
      </x:c>
      <x:c r="H17" s="38" t="n">
        <x:v>46307</x:v>
      </x:c>
      <x:c r="I17" s="35" t="str">
        <x:v>Follow-up Due</x:v>
      </x:c>
      <x:c r="J17" s="35" t="str">
        <x:v>Use only approved business channels; no inferred email or personal profile URL.</x:v>
      </x:c>
      <x:c r="K17" s="35" t="str">
        <x:f>IF(AND(J17&lt;&gt;"Completed",I17&lt;TODAY()),"OVERDUE",IF(J17="Completed","Complete","Open"))</x:f>
        <x:v>Open</x:v>
      </x:c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8" t="n">
        <x:v>46278</x:v>
      </x:c>
      <x:c r="B18" s="35" t="str">
        <x:v>Research review</x:v>
      </x:c>
      <x:c r="C18" s="35" t="str">
        <x:v>Life Sciences BD - India</x:v>
      </x:c>
      <x:c r="D18" s="35" t="str">
        <x:v>CON-013</x:v>
      </x:c>
      <x:c r="E18" s="35" t="str">
        <x:v>Rama Bijapurkar</x:v>
      </x:c>
      <x:c r="F18" s="35" t="str">
        <x:v>Role and source reviewed</x:v>
      </x:c>
      <x:c r="G18" s="35" t="str">
        <x:v>Verify relevance and approved contact channel</x:v>
      </x:c>
      <x:c r="H18" s="38" t="n">
        <x:v>46308</x:v>
      </x:c>
      <x:c r="I18" s="35" t="str">
        <x:v>Completed</x:v>
      </x:c>
      <x:c r="J18" s="35" t="str">
        <x:v>Use only approved business channels; no inferred email or personal profile URL.</x:v>
      </x:c>
      <x:c r="K18" s="35" t="str">
        <x:f>IF(AND(J18&lt;&gt;"Completed",I18&lt;TODAY()),"OVERDUE",IF(J18="Completed","Complete","Open"))</x:f>
        <x:v>Open</x:v>
      </x:c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8" t="n">
        <x:v>46279</x:v>
      </x:c>
      <x:c r="B19" s="35" t="str">
        <x:v>India outreach preparation</x:v>
      </x:c>
      <x:c r="C19" s="35" t="str">
        <x:v>Life Sciences BD - India</x:v>
      </x:c>
      <x:c r="D19" s="35" t="str">
        <x:v>CON-014</x:v>
      </x:c>
      <x:c r="E19" s="35" t="str">
        <x:v>Sapna Purohit</x:v>
      </x:c>
      <x:c r="F19" s="35" t="str">
        <x:v>Pending internal outreach approval</x:v>
      </x:c>
      <x:c r="G19" s="35" t="str">
        <x:v>Verify relevance and approved contact channel</x:v>
      </x:c>
      <x:c r="H19" s="38" t="n">
        <x:v>46309</x:v>
      </x:c>
      <x:c r="I19" s="35" t="str">
        <x:v>Follow-up Due</x:v>
      </x:c>
      <x:c r="J19" s="35" t="str">
        <x:v>Use only approved business channels; no inferred email or personal profile URL.</x:v>
      </x:c>
      <x:c r="K19" s="35" t="str">
        <x:f>IF(AND(J19&lt;&gt;"Completed",I19&lt;TODAY()),"OVERDUE",IF(J19="Completed","Complete","Open"))</x:f>
        <x:v>Open</x:v>
      </x:c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8" t="n">
        <x:v>46280</x:v>
      </x:c>
      <x:c r="B20" s="35" t="str">
        <x:v>India outreach preparation</x:v>
      </x:c>
      <x:c r="C20" s="35" t="str">
        <x:v>Life Sciences BD - India</x:v>
      </x:c>
      <x:c r="D20" s="35" t="str">
        <x:v>CON-015</x:v>
      </x:c>
      <x:c r="E20" s="35" t="str">
        <x:v>Anilkumar Jain</x:v>
      </x:c>
      <x:c r="F20" s="35" t="str">
        <x:v>Pending internal outreach approval</x:v>
      </x:c>
      <x:c r="G20" s="35" t="str">
        <x:v>Verify relevance and approved contact channel</x:v>
      </x:c>
      <x:c r="H20" s="38" t="n">
        <x:v>46310</x:v>
      </x:c>
      <x:c r="I20" s="35" t="str">
        <x:v>Follow-up Due</x:v>
      </x:c>
      <x:c r="J20" s="35" t="str">
        <x:v>Use only approved business channels; no inferred email or personal profile URL.</x:v>
      </x:c>
      <x:c r="K20" s="35" t="str">
        <x:f>IF(AND(J20&lt;&gt;"Completed",I20&lt;TODAY()),"OVERDUE",IF(J20="Completed","Complete","Open"))</x:f>
        <x:v>Open</x:v>
      </x:c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8" t="n">
        <x:v>46281</x:v>
      </x:c>
      <x:c r="B21" s="35" t="str">
        <x:v>Research review</x:v>
      </x:c>
      <x:c r="C21" s="35" t="str">
        <x:v>Life Sciences BD - India</x:v>
      </x:c>
      <x:c r="D21" s="35" t="str">
        <x:v>CON-016</x:v>
      </x:c>
      <x:c r="E21" s="35" t="str">
        <x:v>Deepak Sapra</x:v>
      </x:c>
      <x:c r="F21" s="35" t="str">
        <x:v>Role and source reviewed</x:v>
      </x:c>
      <x:c r="G21" s="35" t="str">
        <x:v>Verify relevance and approved contact channel</x:v>
      </x:c>
      <x:c r="H21" s="38" t="n">
        <x:v>46311</x:v>
      </x:c>
      <x:c r="I21" s="35" t="str">
        <x:v>Completed</x:v>
      </x:c>
      <x:c r="J21" s="35" t="str">
        <x:v>Use only approved business channels; no inferred email or personal profile URL.</x:v>
      </x:c>
      <x:c r="K21" s="35" t="str">
        <x:f>IF(AND(J21&lt;&gt;"Completed",I21&lt;TODAY()),"OVERDUE",IF(J21="Completed","Complete","Open"))</x:f>
        <x:v>Open</x:v>
      </x:c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8" t="n">
        <x:v>46282</x:v>
      </x:c>
      <x:c r="B22" s="35" t="str">
        <x:v>India outreach preparation</x:v>
      </x:c>
      <x:c r="C22" s="35" t="str">
        <x:v>Life Sciences BD - India</x:v>
      </x:c>
      <x:c r="D22" s="35" t="str">
        <x:v>CON-017</x:v>
      </x:c>
      <x:c r="E22" s="35" t="str">
        <x:v>A Kalyan Chakravarthy</x:v>
      </x:c>
      <x:c r="F22" s="35" t="str">
        <x:v>Pending internal outreach approval</x:v>
      </x:c>
      <x:c r="G22" s="35" t="str">
        <x:v>Verify relevance and approved contact channel</x:v>
      </x:c>
      <x:c r="H22" s="38" t="n">
        <x:v>46312</x:v>
      </x:c>
      <x:c r="I22" s="35" t="str">
        <x:v>Follow-up Due</x:v>
      </x:c>
      <x:c r="J22" s="35" t="str">
        <x:v>Use only approved business channels; no inferred email or personal profile URL.</x:v>
      </x:c>
      <x:c r="K22" s="35" t="str">
        <x:f>IF(AND(J22&lt;&gt;"Completed",I22&lt;TODAY()),"OVERDUE",IF(J22="Completed","Complete","Open"))</x:f>
        <x:v>Open</x:v>
      </x:c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8" t="n">
        <x:v>46283</x:v>
      </x:c>
      <x:c r="B23" s="35" t="str">
        <x:v>India outreach preparation</x:v>
      </x:c>
      <x:c r="C23" s="35" t="str">
        <x:v>Life Sciences BD - India</x:v>
      </x:c>
      <x:c r="D23" s="35" t="str">
        <x:v>CON-018</x:v>
      </x:c>
      <x:c r="E23" s="35" t="str">
        <x:v>B Vivek</x:v>
      </x:c>
      <x:c r="F23" s="35" t="str">
        <x:v>Pending internal outreach approval</x:v>
      </x:c>
      <x:c r="G23" s="35" t="str">
        <x:v>Verify relevance and approved contact channel</x:v>
      </x:c>
      <x:c r="H23" s="38" t="n">
        <x:v>46313</x:v>
      </x:c>
      <x:c r="I23" s="35" t="str">
        <x:v>Follow-up Due</x:v>
      </x:c>
      <x:c r="J23" s="35" t="str">
        <x:v>Use only approved business channels; no inferred email or personal profile URL.</x:v>
      </x:c>
      <x:c r="K23" s="35" t="str">
        <x:f>IF(AND(J23&lt;&gt;"Completed",I23&lt;TODAY()),"OVERDUE",IF(J23="Completed","Complete","Open"))</x:f>
        <x:v>Open</x:v>
      </x:c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8" t="n">
        <x:v>46284</x:v>
      </x:c>
      <x:c r="B24" s="35" t="str">
        <x:v>Research review</x:v>
      </x:c>
      <x:c r="C24" s="35" t="str">
        <x:v>Life Sciences BD - India</x:v>
      </x:c>
      <x:c r="D24" s="35" t="str">
        <x:v>CON-019</x:v>
      </x:c>
      <x:c r="E24" s="35" t="str">
        <x:v>E Sreedhar</x:v>
      </x:c>
      <x:c r="F24" s="35" t="str">
        <x:v>Role and source reviewed</x:v>
      </x:c>
      <x:c r="G24" s="35" t="str">
        <x:v>Verify relevance and approved contact channel</x:v>
      </x:c>
      <x:c r="H24" s="38" t="n">
        <x:v>46314</x:v>
      </x:c>
      <x:c r="I24" s="35" t="str">
        <x:v>Completed</x:v>
      </x:c>
      <x:c r="J24" s="35" t="str">
        <x:v>Use only approved business channels; no inferred email or personal profile URL.</x:v>
      </x:c>
      <x:c r="K24" s="35" t="str">
        <x:f>IF(AND(J24&lt;&gt;"Completed",I24&lt;TODAY()),"OVERDUE",IF(J24="Completed","Complete","Open"))</x:f>
        <x:v>Open</x:v>
      </x:c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8" t="n">
        <x:v>46285</x:v>
      </x:c>
      <x:c r="B25" s="35" t="str">
        <x:v>India outreach preparation</x:v>
      </x:c>
      <x:c r="C25" s="35" t="str">
        <x:v>Life Sciences BD - India</x:v>
      </x:c>
      <x:c r="D25" s="35" t="str">
        <x:v>CON-020</x:v>
      </x:c>
      <x:c r="E25" s="35" t="str">
        <x:v>Ashwinikumar Kulkarni</x:v>
      </x:c>
      <x:c r="F25" s="35" t="str">
        <x:v>Pending internal outreach approval</x:v>
      </x:c>
      <x:c r="G25" s="35" t="str">
        <x:v>Verify relevance and approved contact channel</x:v>
      </x:c>
      <x:c r="H25" s="38" t="n">
        <x:v>46315</x:v>
      </x:c>
      <x:c r="I25" s="35" t="str">
        <x:v>Follow-up Due</x:v>
      </x:c>
      <x:c r="J25" s="35" t="str">
        <x:v>Use only approved business channels; no inferred email or personal profile URL.</x:v>
      </x:c>
      <x:c r="K25" s="35" t="str">
        <x:f>IF(AND(J25&lt;&gt;"Completed",I25&lt;TODAY()),"OVERDUE",IF(J25="Completed","Complete","Open"))</x:f>
        <x:v>Open</x:v>
      </x:c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8" t="n">
        <x:v>46286</x:v>
      </x:c>
      <x:c r="B26" s="35" t="str">
        <x:v>India outreach preparation</x:v>
      </x:c>
      <x:c r="C26" s="35" t="str">
        <x:v>Life Sciences BD - India</x:v>
      </x:c>
      <x:c r="D26" s="35" t="str">
        <x:v>CON-021</x:v>
      </x:c>
      <x:c r="E26" s="35" t="str">
        <x:v>Siddhartha Deshpande</x:v>
      </x:c>
      <x:c r="F26" s="35" t="str">
        <x:v>Pending internal outreach approval</x:v>
      </x:c>
      <x:c r="G26" s="35" t="str">
        <x:v>Verify relevance and approved contact channel</x:v>
      </x:c>
      <x:c r="H26" s="38" t="n">
        <x:v>46316</x:v>
      </x:c>
      <x:c r="I26" s="35" t="str">
        <x:v>Follow-up Due</x:v>
      </x:c>
      <x:c r="J26" s="35" t="str">
        <x:v>Use only approved business channels; no inferred email or personal profile URL.</x:v>
      </x:c>
      <x:c r="K26" s="35" t="str">
        <x:f>IF(AND(J26&lt;&gt;"Completed",I26&lt;TODAY()),"OVERDUE",IF(J26="Completed","Complete","Open"))</x:f>
        <x:v>Open</x:v>
      </x:c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8" t="n">
        <x:v>46287</x:v>
      </x:c>
      <x:c r="B27" s="35" t="str">
        <x:v>Research review</x:v>
      </x:c>
      <x:c r="C27" s="35" t="str">
        <x:v>Life Sciences BD - India</x:v>
      </x:c>
      <x:c r="D27" s="35" t="str">
        <x:v>CON-022</x:v>
      </x:c>
      <x:c r="E27" s="35" t="str">
        <x:v>Vishal N Bhojak</x:v>
      </x:c>
      <x:c r="F27" s="35" t="str">
        <x:v>Role and source reviewed</x:v>
      </x:c>
      <x:c r="G27" s="35" t="str">
        <x:v>Verify relevance and approved contact channel</x:v>
      </x:c>
      <x:c r="H27" s="38" t="n">
        <x:v>46317</x:v>
      </x:c>
      <x:c r="I27" s="35" t="str">
        <x:v>Completed</x:v>
      </x:c>
      <x:c r="J27" s="35" t="str">
        <x:v>Use only approved business channels; no inferred email or personal profile URL.</x:v>
      </x:c>
      <x:c r="K27" s="35" t="str">
        <x:f>IF(AND(J27&lt;&gt;"Completed",I27&lt;TODAY()),"OVERDUE",IF(J27="Completed","Complete","Open"))</x:f>
        <x:v>Open</x:v>
      </x:c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8" t="n">
        <x:v>46288</x:v>
      </x:c>
      <x:c r="B28" s="35" t="str">
        <x:v>India outreach preparation</x:v>
      </x:c>
      <x:c r="C28" s="35" t="str">
        <x:v>Life Sciences BD - India</x:v>
      </x:c>
      <x:c r="D28" s="35" t="str">
        <x:v>CON-023</x:v>
      </x:c>
      <x:c r="E28" s="35" t="str">
        <x:v>Susmit Dey</x:v>
      </x:c>
      <x:c r="F28" s="35" t="str">
        <x:v>Pending internal outreach approval</x:v>
      </x:c>
      <x:c r="G28" s="35" t="str">
        <x:v>Verify relevance and approved contact channel</x:v>
      </x:c>
      <x:c r="H28" s="38" t="n">
        <x:v>46318</x:v>
      </x:c>
      <x:c r="I28" s="35" t="str">
        <x:v>Follow-up Due</x:v>
      </x:c>
      <x:c r="J28" s="35" t="str">
        <x:v>Use only approved business channels; no inferred email or personal profile URL.</x:v>
      </x:c>
      <x:c r="K28" s="35" t="str">
        <x:f>IF(AND(J28&lt;&gt;"Completed",I28&lt;TODAY()),"OVERDUE",IF(J28="Completed","Complete","Open"))</x:f>
        <x:v>Open</x:v>
      </x:c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8" t="n">
        <x:v>46289</x:v>
      </x:c>
      <x:c r="B29" s="35" t="str">
        <x:v>India outreach preparation</x:v>
      </x:c>
      <x:c r="C29" s="35" t="str">
        <x:v>Life Sciences BD - India</x:v>
      </x:c>
      <x:c r="D29" s="35" t="str">
        <x:v>CON-024</x:v>
      </x:c>
      <x:c r="E29" s="35" t="str">
        <x:v>Mukesh Rathi</x:v>
      </x:c>
      <x:c r="F29" s="35" t="str">
        <x:v>Pending internal outreach approval</x:v>
      </x:c>
      <x:c r="G29" s="35" t="str">
        <x:v>Verify relevance and approved contact channel</x:v>
      </x:c>
      <x:c r="H29" s="38" t="n">
        <x:v>46319</x:v>
      </x:c>
      <x:c r="I29" s="35" t="str">
        <x:v>Follow-up Due</x:v>
      </x:c>
      <x:c r="J29" s="35" t="str">
        <x:v>Use only approved business channels; no inferred email or personal profile URL.</x:v>
      </x:c>
      <x:c r="K29" s="35" t="str">
        <x:f>IF(AND(J29&lt;&gt;"Completed",I29&lt;TODAY()),"OVERDUE",IF(J29="Completed","Complete","Open"))</x:f>
        <x:v>Open</x:v>
      </x:c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8" t="n">
        <x:v>46290</x:v>
      </x:c>
      <x:c r="B30" s="35" t="str">
        <x:v>Research review</x:v>
      </x:c>
      <x:c r="C30" s="35" t="str">
        <x:v>Life Sciences BD - India</x:v>
      </x:c>
      <x:c r="D30" s="35" t="str">
        <x:v>CON-025</x:v>
      </x:c>
      <x:c r="E30" s="35" t="str">
        <x:v>Jayanth Sridhar</x:v>
      </x:c>
      <x:c r="F30" s="35" t="str">
        <x:v>Role and source reviewed</x:v>
      </x:c>
      <x:c r="G30" s="35" t="str">
        <x:v>Verify relevance and approved contact channel</x:v>
      </x:c>
      <x:c r="H30" s="38" t="n">
        <x:v>46320</x:v>
      </x:c>
      <x:c r="I30" s="35" t="str">
        <x:v>Completed</x:v>
      </x:c>
      <x:c r="J30" s="35" t="str">
        <x:v>Use only approved business channels; no inferred email or personal profile URL.</x:v>
      </x:c>
      <x:c r="K30" s="35" t="str">
        <x:f>IF(AND(J30&lt;&gt;"Completed",I30&lt;TODAY()),"OVERDUE",IF(J30="Completed","Complete","Open"))</x:f>
        <x:v>Open</x:v>
      </x:c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8" t="n">
        <x:v>46291</x:v>
      </x:c>
      <x:c r="B31" s="35" t="str">
        <x:v>India outreach preparation</x:v>
      </x:c>
      <x:c r="C31" s="35" t="str">
        <x:v>Life Sciences BD - India</x:v>
      </x:c>
      <x:c r="D31" s="35" t="str">
        <x:v>CON-026</x:v>
      </x:c>
      <x:c r="E31" s="35" t="str">
        <x:v>Achin Gupta</x:v>
      </x:c>
      <x:c r="F31" s="35" t="str">
        <x:v>Pending internal outreach approval</x:v>
      </x:c>
      <x:c r="G31" s="35" t="str">
        <x:v>Verify relevance and approved contact channel</x:v>
      </x:c>
      <x:c r="H31" s="38" t="n">
        <x:v>46321</x:v>
      </x:c>
      <x:c r="I31" s="35" t="str">
        <x:v>Follow-up Due</x:v>
      </x:c>
      <x:c r="J31" s="35" t="str">
        <x:v>Use only approved business channels; no inferred email or personal profile URL.</x:v>
      </x:c>
      <x:c r="K31" s="35" t="str">
        <x:f>IF(AND(J31&lt;&gt;"Completed",I31&lt;TODAY()),"OVERDUE",IF(J31="Completed","Complete","Open"))</x:f>
        <x:v>Open</x:v>
      </x:c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8" t="n">
        <x:v>46292</x:v>
      </x:c>
      <x:c r="B32" s="35" t="str">
        <x:v>India outreach preparation</x:v>
      </x:c>
      <x:c r="C32" s="35" t="str">
        <x:v>Life Sciences BD - India</x:v>
      </x:c>
      <x:c r="D32" s="35" t="str">
        <x:v>CON-027</x:v>
      </x:c>
      <x:c r="E32" s="35" t="str">
        <x:v>Y K Hamied</x:v>
      </x:c>
      <x:c r="F32" s="35" t="str">
        <x:v>Pending internal outreach approval</x:v>
      </x:c>
      <x:c r="G32" s="35" t="str">
        <x:v>Verify relevance and approved contact channel</x:v>
      </x:c>
      <x:c r="H32" s="38" t="n">
        <x:v>46322</x:v>
      </x:c>
      <x:c r="I32" s="35" t="str">
        <x:v>Follow-up Due</x:v>
      </x:c>
      <x:c r="J32" s="35" t="str">
        <x:v>Use only approved business channels; no inferred email or personal profile URL.</x:v>
      </x:c>
      <x:c r="K32" s="35" t="str">
        <x:f>IF(AND(J32&lt;&gt;"Completed",I32&lt;TODAY()),"OVERDUE",IF(J32="Completed","Complete","Open"))</x:f>
        <x:v>Open</x:v>
      </x:c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8" t="n">
        <x:v>46293</x:v>
      </x:c>
      <x:c r="B33" s="35" t="str">
        <x:v>Research review</x:v>
      </x:c>
      <x:c r="C33" s="35" t="str">
        <x:v>Life Sciences BD - India</x:v>
      </x:c>
      <x:c r="D33" s="35" t="str">
        <x:v>CON-028</x:v>
      </x:c>
      <x:c r="E33" s="35" t="str">
        <x:v>Umang Vohra</x:v>
      </x:c>
      <x:c r="F33" s="35" t="str">
        <x:v>Role and source reviewed</x:v>
      </x:c>
      <x:c r="G33" s="35" t="str">
        <x:v>Verify relevance and approved contact channel</x:v>
      </x:c>
      <x:c r="H33" s="38" t="n">
        <x:v>46323</x:v>
      </x:c>
      <x:c r="I33" s="35" t="str">
        <x:v>Completed</x:v>
      </x:c>
      <x:c r="J33" s="35" t="str">
        <x:v>Use only approved business channels; no inferred email or personal profile URL.</x:v>
      </x:c>
      <x:c r="K33" s="35" t="str">
        <x:f>IF(AND(J33&lt;&gt;"Completed",I33&lt;TODAY()),"OVERDUE",IF(J33="Completed","Complete","Open"))</x:f>
        <x:v>Open</x:v>
      </x:c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8" t="n">
        <x:v>46294</x:v>
      </x:c>
      <x:c r="B34" s="35" t="str">
        <x:v>India outreach preparation</x:v>
      </x:c>
      <x:c r="C34" s="35" t="str">
        <x:v>Life Sciences BD - India</x:v>
      </x:c>
      <x:c r="D34" s="35" t="str">
        <x:v>CON-029</x:v>
      </x:c>
      <x:c r="E34" s="35" t="str">
        <x:v>Nikhil Chopra</x:v>
      </x:c>
      <x:c r="F34" s="35" t="str">
        <x:v>Pending internal outreach approval</x:v>
      </x:c>
      <x:c r="G34" s="35" t="str">
        <x:v>Verify relevance and approved contact channel</x:v>
      </x:c>
      <x:c r="H34" s="38" t="n">
        <x:v>46324</x:v>
      </x:c>
      <x:c r="I34" s="35" t="str">
        <x:v>Follow-up Due</x:v>
      </x:c>
      <x:c r="J34" s="35" t="str">
        <x:v>Use only approved business channels; no inferred email or personal profile URL.</x:v>
      </x:c>
      <x:c r="K34" s="35" t="str">
        <x:f>IF(AND(J34&lt;&gt;"Completed",I34&lt;TODAY()),"OVERDUE",IF(J34="Completed","Complete","Open"))</x:f>
        <x:v>Open</x:v>
      </x:c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8" t="n">
        <x:v>46295</x:v>
      </x:c>
      <x:c r="B35" s="35" t="str">
        <x:v>India outreach preparation</x:v>
      </x:c>
      <x:c r="C35" s="35" t="str">
        <x:v>Life Sciences BD - India</x:v>
      </x:c>
      <x:c r="D35" s="35" t="str">
        <x:v>CON-030</x:v>
      </x:c>
      <x:c r="E35" s="35" t="str">
        <x:v>Saugata Gupta</x:v>
      </x:c>
      <x:c r="F35" s="35" t="str">
        <x:v>Pending internal outreach approval</x:v>
      </x:c>
      <x:c r="G35" s="35" t="str">
        <x:v>Verify relevance and approved contact channel</x:v>
      </x:c>
      <x:c r="H35" s="38" t="n">
        <x:v>46325</x:v>
      </x:c>
      <x:c r="I35" s="35" t="str">
        <x:v>Follow-up Due</x:v>
      </x:c>
      <x:c r="J35" s="35" t="str">
        <x:v>Use only approved business channels; no inferred email or personal profile URL.</x:v>
      </x:c>
      <x:c r="K35" s="35" t="str">
        <x:f>IF(AND(J35&lt;&gt;"Completed",I35&lt;TODAY()),"OVERDUE",IF(J35="Completed","Complete","Open"))</x:f>
        <x:v>Open</x:v>
      </x:c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</x:sheetData>
  <x:conditionalFormatting sqref="K6:K35">
    <x:cfRule type="containsText" dxfId="2" priority="1" operator="containsText" text="OVERDUE"/>
  </x:conditionalFormatting>
  <x:dataValidations count="1">
    <x:dataValidation type="list" sqref="I6:I35">
      <x:formula1>Lists!$F$6:$F$10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e72fc8a1a3464e"/>
  </x:tableParts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0" hidden="0" customWidth="1"/>
    <x:col min="2" max="2" width="28" hidden="0" customWidth="1"/>
    <x:col min="3" max="3" width="18" hidden="0" customWidth="1"/>
    <x:col min="4" max="4" width="18" hidden="0" customWidth="1"/>
    <x:col min="5" max="5" width="55" hidden="0" customWidth="1"/>
    <x:col min="6" max="6" width="16" hidden="0" customWidth="1"/>
    <x:col min="7" max="7" width="28" hidden="0" customWidth="1"/>
  </x:cols>
  <x:sheetData>
    <x:row r="1">
      <x:c r="A1" s="34" t="str">
        <x:v>Research Sources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6" t="str">
        <x:v>Citation ledger. Every researched account and contact is represented below.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1" t="str">
        <x:v>Source URL</x:v>
      </x:c>
      <x:c r="B5" s="31" t="str">
        <x:v>Source type</x:v>
      </x:c>
      <x:c r="C5" s="31" t="str">
        <x:v>Linked account ID</x:v>
      </x:c>
      <x:c r="D5" s="31" t="str">
        <x:v>Linked contact ID</x:v>
      </x:c>
      <x:c r="E5" s="31" t="str">
        <x:v>Extracted information</x:v>
      </x:c>
      <x:c r="F5" s="31" t="str">
        <x:v>Date accessed</x:v>
      </x:c>
      <x:c r="G5" s="31" t="str">
        <x:v>Verification / confidence</x:v>
      </x:c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5" t="str">
        <x:v>https://sunpharma.com/board-of-directors/</x:v>
      </x:c>
      <x:c r="B6" s="35" t="str">
        <x:v>Official company / leadership page</x:v>
      </x:c>
      <x:c r="C6" s="35" t="str">
        <x:v>ACC-001</x:v>
      </x:c>
      <x:c r="D6" s="35" t="str">
        <x:v>Sun Pharmaceutical Industries</x:v>
      </x:c>
      <x:c r="E6" s="35" t="str">
        <x:v>India account profile and/or leadership source for Sun Pharmaceutical Industries.</x:v>
      </x:c>
      <x:c r="F6" s="38" t="n">
        <x:v>46295</x:v>
      </x:c>
      <x:c r="G6" s="35" t="str">
        <x:v>Official source / high</x:v>
      </x:c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5" t="str">
        <x:v>https://api.drreddys.com/pt-pt/events/cphi-india-2025</x:v>
      </x:c>
      <x:c r="B7" s="35" t="str">
        <x:v>Official company / leadership page</x:v>
      </x:c>
      <x:c r="C7" s="35" t="str">
        <x:v>ACC-002</x:v>
      </x:c>
      <x:c r="D7" s="35" t="str">
        <x:v>Dr. Reddy’s Laboratories</x:v>
      </x:c>
      <x:c r="E7" s="35" t="str">
        <x:v>India account profile and/or leadership source for Dr. Reddy’s Laboratories.</x:v>
      </x:c>
      <x:c r="F7" s="38" t="n">
        <x:v>46295</x:v>
      </x:c>
      <x:c r="G7" s="35" t="str">
        <x:v>Official source / high</x:v>
      </x:c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 t="str">
        <x:v>https://www.cipla.com/node/713474</x:v>
      </x:c>
      <x:c r="B8" s="35" t="str">
        <x:v>Official company / leadership page</x:v>
      </x:c>
      <x:c r="C8" s="35" t="str">
        <x:v>ACC-003</x:v>
      </x:c>
      <x:c r="D8" s="35" t="str">
        <x:v>Cipla</x:v>
      </x:c>
      <x:c r="E8" s="35" t="str">
        <x:v>India account profile and/or leadership source for Cipla.</x:v>
      </x:c>
      <x:c r="F8" s="38" t="n">
        <x:v>46295</x:v>
      </x:c>
      <x:c r="G8" s="35" t="str">
        <x:v>Official source / high</x:v>
      </x:c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 t="str">
        <x:v>https://www.biocon.com/about-us/executive-committee/</x:v>
      </x:c>
      <x:c r="B9" s="35" t="str">
        <x:v>Official company / leadership page</x:v>
      </x:c>
      <x:c r="C9" s="35" t="str">
        <x:v>ACC-004</x:v>
      </x:c>
      <x:c r="D9" s="35" t="str">
        <x:v>Biocon</x:v>
      </x:c>
      <x:c r="E9" s="35" t="str">
        <x:v>India account profile and/or leadership source for Biocon.</x:v>
      </x:c>
      <x:c r="F9" s="38" t="n">
        <x:v>46295</x:v>
      </x:c>
      <x:c r="G9" s="35" t="str">
        <x:v>Official source / high</x:v>
      </x:c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 t="str">
        <x:v>https://lupin.com/about-us/leadership</x:v>
      </x:c>
      <x:c r="B10" s="35" t="str">
        <x:v>Official company / leadership page</x:v>
      </x:c>
      <x:c r="C10" s="35" t="str">
        <x:v>ACC-005</x:v>
      </x:c>
      <x:c r="D10" s="35" t="str">
        <x:v>Lupin</x:v>
      </x:c>
      <x:c r="E10" s="35" t="str">
        <x:v>India account profile and/or leadership source for Lupin.</x:v>
      </x:c>
      <x:c r="F10" s="38" t="n">
        <x:v>46295</x:v>
      </x:c>
      <x:c r="G10" s="35" t="str">
        <x:v>Official source / high</x:v>
      </x:c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 t="str">
        <x:v>https://www.aurobindo.com/about-us/management/board-of-directors</x:v>
      </x:c>
      <x:c r="B11" s="35" t="str">
        <x:v>Official company / leadership page</x:v>
      </x:c>
      <x:c r="C11" s="35" t="str">
        <x:v>ACC-006</x:v>
      </x:c>
      <x:c r="D11" s="35" t="str">
        <x:v>Aurobindo Pharma</x:v>
      </x:c>
      <x:c r="E11" s="35" t="str">
        <x:v>India account profile and/or leadership source for Aurobindo Pharma.</x:v>
      </x:c>
      <x:c r="F11" s="38" t="n">
        <x:v>46295</x:v>
      </x:c>
      <x:c r="G11" s="35" t="str">
        <x:v>Official source / high</x:v>
      </x:c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 t="str">
        <x:v>https://alembicpharmaceuticals.com/shareholder-information</x:v>
      </x:c>
      <x:c r="B12" s="35" t="str">
        <x:v>Official company / leadership page</x:v>
      </x:c>
      <x:c r="C12" s="35" t="str">
        <x:v>ACC-007</x:v>
      </x:c>
      <x:c r="D12" s="35" t="str">
        <x:v>Alembic Pharmaceuticals</x:v>
      </x:c>
      <x:c r="E12" s="35" t="str">
        <x:v>India account profile and/or leadership source for Alembic Pharmaceuticals.</x:v>
      </x:c>
      <x:c r="F12" s="38" t="n">
        <x:v>46295</x:v>
      </x:c>
      <x:c r="G12" s="35" t="str">
        <x:v>Official source / high</x:v>
      </x:c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 t="str">
        <x:v>https://india-pharma.gsk.com/en-in/company/board-of-directors-and-india-leadership-team/</x:v>
      </x:c>
      <x:c r="B13" s="35" t="str">
        <x:v>Official company / leadership page</x:v>
      </x:c>
      <x:c r="C13" s="35" t="str">
        <x:v>ACC-008</x:v>
      </x:c>
      <x:c r="D13" s="35" t="str">
        <x:v>GSK India</x:v>
      </x:c>
      <x:c r="E13" s="35" t="str">
        <x:v>India account profile and/or leadership source for GSK India.</x:v>
      </x:c>
      <x:c r="F13" s="38" t="n">
        <x:v>46295</x:v>
      </x:c>
      <x:c r="G13" s="35" t="str">
        <x:v>Official source / high</x:v>
      </x:c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 t="str">
        <x:v>https://www.zyduslife.com/investor/admin/uploads/14/2/2024-2025.pdf</x:v>
      </x:c>
      <x:c r="B14" s="35" t="str">
        <x:v>Official company / leadership page</x:v>
      </x:c>
      <x:c r="C14" s="35" t="str">
        <x:v>ACC-009</x:v>
      </x:c>
      <x:c r="D14" s="35" t="str">
        <x:v>Zydus Lifesciences</x:v>
      </x:c>
      <x:c r="E14" s="35" t="str">
        <x:v>India account profile and/or leadership source for Zydus Lifesciences.</x:v>
      </x:c>
      <x:c r="F14" s="38" t="n">
        <x:v>46295</x:v>
      </x:c>
      <x:c r="G14" s="35" t="str">
        <x:v>Official source / high</x:v>
      </x:c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 t="str">
        <x:v>https://www.torrentpharma.com/investors/corporate-governance/board-of-directors/</x:v>
      </x:c>
      <x:c r="B15" s="35" t="str">
        <x:v>Official company / leadership page</x:v>
      </x:c>
      <x:c r="C15" s="35" t="str">
        <x:v>ACC-010</x:v>
      </x:c>
      <x:c r="D15" s="35" t="str">
        <x:v>Torrent Pharmaceuticals</x:v>
      </x:c>
      <x:c r="E15" s="35" t="str">
        <x:v>India account profile and/or leadership source for Torrent Pharmaceuticals.</x:v>
      </x:c>
      <x:c r="F15" s="38" t="n">
        <x:v>46295</x:v>
      </x:c>
      <x:c r="G15" s="35" t="str">
        <x:v>Official source / high</x:v>
      </x:c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 t="str">
        <x:v>https://www.mankindpharma.com/about-us/board-of-directors</x:v>
      </x:c>
      <x:c r="B16" s="35" t="str">
        <x:v>Official company / leadership page</x:v>
      </x:c>
      <x:c r="C16" s="35" t="str">
        <x:v>ACC-011</x:v>
      </x:c>
      <x:c r="D16" s="35" t="str">
        <x:v>Mankind Pharma</x:v>
      </x:c>
      <x:c r="E16" s="35" t="str">
        <x:v>India account profile and/or leadership source for Mankind Pharma.</x:v>
      </x:c>
      <x:c r="F16" s="38" t="n">
        <x:v>46295</x:v>
      </x:c>
      <x:c r="G16" s="35" t="str">
        <x:v>Official source / high</x:v>
      </x:c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 t="str">
        <x:v>https://www.emcure.com/about-us/leadership/</x:v>
      </x:c>
      <x:c r="B17" s="35" t="str">
        <x:v>Official company / leadership page</x:v>
      </x:c>
      <x:c r="C17" s="35" t="str">
        <x:v>ACC-012</x:v>
      </x:c>
      <x:c r="D17" s="35" t="str">
        <x:v>Emcure Pharmaceuticals</x:v>
      </x:c>
      <x:c r="E17" s="35" t="str">
        <x:v>India account profile and/or leadership source for Emcure Pharmaceuticals.</x:v>
      </x:c>
      <x:c r="F17" s="38" t="n">
        <x:v>46295</x:v>
      </x:c>
      <x:c r="G17" s="35" t="str">
        <x:v>Official source / high</x:v>
      </x:c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 t="str">
        <x:v>https://www.glenmarkpharma.com/about-us/leadership</x:v>
      </x:c>
      <x:c r="B18" s="35" t="str">
        <x:v>Official company / leadership page</x:v>
      </x:c>
      <x:c r="C18" s="35" t="str">
        <x:v>ACC-013</x:v>
      </x:c>
      <x:c r="D18" s="35" t="str">
        <x:v>Glenmark Pharmaceuticals</x:v>
      </x:c>
      <x:c r="E18" s="35" t="str">
        <x:v>India account profile and/or leadership source for Glenmark Pharmaceuticals.</x:v>
      </x:c>
      <x:c r="F18" s="38" t="n">
        <x:v>46295</x:v>
      </x:c>
      <x:c r="G18" s="35" t="str">
        <x:v>Official source / high</x:v>
      </x:c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 t="str">
        <x:v>https://www.alkemlabs.com/about-us/board-of-directors/</x:v>
      </x:c>
      <x:c r="B19" s="35" t="str">
        <x:v>Official company / leadership page</x:v>
      </x:c>
      <x:c r="C19" s="35" t="str">
        <x:v>ACC-014</x:v>
      </x:c>
      <x:c r="D19" s="35" t="str">
        <x:v>Alkem Laboratories</x:v>
      </x:c>
      <x:c r="E19" s="35" t="str">
        <x:v>India account profile and/or leadership source for Alkem Laboratories.</x:v>
      </x:c>
      <x:c r="F19" s="38" t="n">
        <x:v>46295</x:v>
      </x:c>
      <x:c r="G19" s="35" t="str">
        <x:v>Official source / high</x:v>
      </x:c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 t="str">
        <x:v>https://www.intaspharma.com/about-us/leadership/</x:v>
      </x:c>
      <x:c r="B20" s="35" t="str">
        <x:v>Official company / leadership page</x:v>
      </x:c>
      <x:c r="C20" s="35" t="str">
        <x:v>ACC-015</x:v>
      </x:c>
      <x:c r="D20" s="35" t="str">
        <x:v>Intas Pharmaceuticals</x:v>
      </x:c>
      <x:c r="E20" s="35" t="str">
        <x:v>India account profile and/or leadership source for Intas Pharmaceuticals.</x:v>
      </x:c>
      <x:c r="F20" s="38" t="n">
        <x:v>46295</x:v>
      </x:c>
      <x:c r="G20" s="35" t="str">
        <x:v>Official source / high</x:v>
      </x:c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 t="str">
        <x:v>https://www.seruminstitute.com/</x:v>
      </x:c>
      <x:c r="B21" s="35" t="str">
        <x:v>Official company / leadership page</x:v>
      </x:c>
      <x:c r="C21" s="35" t="str">
        <x:v>ACC-016</x:v>
      </x:c>
      <x:c r="D21" s="35" t="str">
        <x:v>Serum Institute of India</x:v>
      </x:c>
      <x:c r="E21" s="35" t="str">
        <x:v>India account profile and/or leadership source for Serum Institute of India.</x:v>
      </x:c>
      <x:c r="F21" s="38" t="n">
        <x:v>46295</x:v>
      </x:c>
      <x:c r="G21" s="35" t="str">
        <x:v>Official source / high</x:v>
      </x:c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 t="str">
        <x:v>https://www.bharatbiotech.com/</x:v>
      </x:c>
      <x:c r="B22" s="35" t="str">
        <x:v>Official company / leadership page</x:v>
      </x:c>
      <x:c r="C22" s="35" t="str">
        <x:v>ACC-017</x:v>
      </x:c>
      <x:c r="D22" s="35" t="str">
        <x:v>Bharat Biotech</x:v>
      </x:c>
      <x:c r="E22" s="35" t="str">
        <x:v>India account profile and/or leadership source for Bharat Biotech.</x:v>
      </x:c>
      <x:c r="F22" s="38" t="n">
        <x:v>46295</x:v>
      </x:c>
      <x:c r="G22" s="35" t="str">
        <x:v>Official source / high</x:v>
      </x:c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 t="str">
        <x:v>https://www.tatamd.com/</x:v>
      </x:c>
      <x:c r="B23" s="35" t="str">
        <x:v>Official company / leadership page</x:v>
      </x:c>
      <x:c r="C23" s="35" t="str">
        <x:v>ACC-018</x:v>
      </x:c>
      <x:c r="D23" s="35" t="str">
        <x:v>Tata Medical and Diagnostics</x:v>
      </x:c>
      <x:c r="E23" s="35" t="str">
        <x:v>India account profile and/or leadership source for Tata Medical and Diagnostics.</x:v>
      </x:c>
      <x:c r="F23" s="38" t="n">
        <x:v>46295</x:v>
      </x:c>
      <x:c r="G23" s="35" t="str">
        <x:v>Official source / high</x:v>
      </x:c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 t="str">
        <x:v>https://www.trivitron.com/about-us/</x:v>
      </x:c>
      <x:c r="B24" s="35" t="str">
        <x:v>Official company / leadership page</x:v>
      </x:c>
      <x:c r="C24" s="35" t="str">
        <x:v>ACC-019</x:v>
      </x:c>
      <x:c r="D24" s="35" t="str">
        <x:v>Trivitron Healthcare</x:v>
      </x:c>
      <x:c r="E24" s="35" t="str">
        <x:v>India account profile and/or leadership source for Trivitron Healthcare.</x:v>
      </x:c>
      <x:c r="F24" s="38" t="n">
        <x:v>46295</x:v>
      </x:c>
      <x:c r="G24" s="35" t="str">
        <x:v>Official source / high</x:v>
      </x:c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 t="str">
        <x:v>https://www.molbiodiagnostics.com/</x:v>
      </x:c>
      <x:c r="B25" s="35" t="str">
        <x:v>Official company / leadership page</x:v>
      </x:c>
      <x:c r="C25" s="35" t="str">
        <x:v>ACC-020</x:v>
      </x:c>
      <x:c r="D25" s="35" t="str">
        <x:v>Molbio Diagnostics</x:v>
      </x:c>
      <x:c r="E25" s="35" t="str">
        <x:v>India account profile and/or leadership source for Molbio Diagnostics.</x:v>
      </x:c>
      <x:c r="F25" s="38" t="n">
        <x:v>46295</x:v>
      </x:c>
      <x:c r="G25" s="35" t="str">
        <x:v>Official source / high</x:v>
      </x:c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 t="str">
        <x:v>https://hcgoncology.com/about-us/leadership/</x:v>
      </x:c>
      <x:c r="B26" s="35" t="str">
        <x:v>Official company / leadership page</x:v>
      </x:c>
      <x:c r="C26" s="35" t="str">
        <x:v>ACC-021</x:v>
      </x:c>
      <x:c r="D26" s="35" t="str">
        <x:v>HealthCare Global Enterprises</x:v>
      </x:c>
      <x:c r="E26" s="35" t="str">
        <x:v>India account profile and/or leadership source for HealthCare Global Enterprises.</x:v>
      </x:c>
      <x:c r="F26" s="38" t="n">
        <x:v>46295</x:v>
      </x:c>
      <x:c r="G26" s="35" t="str">
        <x:v>Official source / high</x:v>
      </x:c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 t="str">
        <x:v>https://www.apollohospitals.com/about-us/leadership/</x:v>
      </x:c>
      <x:c r="B27" s="35" t="str">
        <x:v>Official company / leadership page</x:v>
      </x:c>
      <x:c r="C27" s="35" t="str">
        <x:v>ACC-022</x:v>
      </x:c>
      <x:c r="D27" s="35" t="str">
        <x:v>Apollo Hospitals Enterprise</x:v>
      </x:c>
      <x:c r="E27" s="35" t="str">
        <x:v>India account profile and/or leadership source for Apollo Hospitals Enterprise.</x:v>
      </x:c>
      <x:c r="F27" s="38" t="n">
        <x:v>46295</x:v>
      </x:c>
      <x:c r="G27" s="35" t="str">
        <x:v>Official source / high</x:v>
      </x:c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 t="str">
        <x:v>https://www.metropolisindia.com/about-us/leadership</x:v>
      </x:c>
      <x:c r="B28" s="35" t="str">
        <x:v>Official company / leadership page</x:v>
      </x:c>
      <x:c r="C28" s="35" t="str">
        <x:v>ACC-023</x:v>
      </x:c>
      <x:c r="D28" s="35" t="str">
        <x:v>Metropolis Healthcare</x:v>
      </x:c>
      <x:c r="E28" s="35" t="str">
        <x:v>India account profile and/or leadership source for Metropolis Healthcare.</x:v>
      </x:c>
      <x:c r="F28" s="38" t="n">
        <x:v>46295</x:v>
      </x:c>
      <x:c r="G28" s="35" t="str">
        <x:v>Official source / high</x:v>
      </x:c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 t="str">
        <x:v>https://www.lalpathlabs.com/about-us/leadership</x:v>
      </x:c>
      <x:c r="B29" s="35" t="str">
        <x:v>Official company / leadership page</x:v>
      </x:c>
      <x:c r="C29" s="35" t="str">
        <x:v>ACC-024</x:v>
      </x:c>
      <x:c r="D29" s="35" t="str">
        <x:v>Dr. Lal PathLabs</x:v>
      </x:c>
      <x:c r="E29" s="35" t="str">
        <x:v>India account profile and/or leadership source for Dr. Lal PathLabs.</x:v>
      </x:c>
      <x:c r="F29" s="38" t="n">
        <x:v>46295</x:v>
      </x:c>
      <x:c r="G29" s="35" t="str">
        <x:v>Official source / high</x:v>
      </x:c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 t="str">
        <x:v>https://www.narayanahealth.org/about-us/leadership</x:v>
      </x:c>
      <x:c r="B30" s="35" t="str">
        <x:v>Official company / leadership page</x:v>
      </x:c>
      <x:c r="C30" s="35" t="str">
        <x:v>ACC-025</x:v>
      </x:c>
      <x:c r="D30" s="35" t="str">
        <x:v>Narayana Health</x:v>
      </x:c>
      <x:c r="E30" s="35" t="str">
        <x:v>India account profile and/or leadership source for Narayana Health.</x:v>
      </x:c>
      <x:c r="F30" s="38" t="n">
        <x:v>46295</x:v>
      </x:c>
      <x:c r="G30" s="35" t="str">
        <x:v>Official source / high</x:v>
      </x:c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 t="str">
        <x:v>https://sunpharma.com/board-of-directors/</x:v>
      </x:c>
      <x:c r="B31" s="35" t="str">
        <x:v>Official company leadership page</x:v>
      </x:c>
      <x:c r="C31" s="35" t="str">
        <x:v>ACC-001</x:v>
      </x:c>
      <x:c r="D31" s="35" t="str">
        <x:v>CON-001</x:v>
      </x:c>
      <x:c r="E31" s="35" t="str">
        <x:v>Dilip Shanghvi — Executive Chairman.</x:v>
      </x:c>
      <x:c r="F31" s="38" t="n">
        <x:v>46295</x:v>
      </x:c>
      <x:c r="G31" s="35" t="str">
        <x:v>Verified official source / high</x:v>
      </x:c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 t="str">
        <x:v>https://sunpharma.com/board-of-directors/</x:v>
      </x:c>
      <x:c r="B32" s="35" t="str">
        <x:v>Official company leadership page</x:v>
      </x:c>
      <x:c r="C32" s="35" t="str">
        <x:v>ACC-001</x:v>
      </x:c>
      <x:c r="D32" s="35" t="str">
        <x:v>CON-002</x:v>
      </x:c>
      <x:c r="E32" s="35" t="str">
        <x:v>Kirti Ganorkar — Managing Director.</x:v>
      </x:c>
      <x:c r="F32" s="38" t="n">
        <x:v>46295</x:v>
      </x:c>
      <x:c r="G32" s="35" t="str">
        <x:v>Verified official source / high</x:v>
      </x:c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 t="str">
        <x:v>https://sunpharma.com/board-of-directors/</x:v>
      </x:c>
      <x:c r="B33" s="35" t="str">
        <x:v>Official company leadership page</x:v>
      </x:c>
      <x:c r="C33" s="35" t="str">
        <x:v>ACC-001</x:v>
      </x:c>
      <x:c r="D33" s="35" t="str">
        <x:v>CON-003</x:v>
      </x:c>
      <x:c r="E33" s="35" t="str">
        <x:v>Aalok Shanghvi — Executive Director.</x:v>
      </x:c>
      <x:c r="F33" s="38" t="n">
        <x:v>46295</x:v>
      </x:c>
      <x:c r="G33" s="35" t="str">
        <x:v>Verified official source / high</x:v>
      </x:c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 t="str">
        <x:v>https://sunpharma.com/board-of-directors/</x:v>
      </x:c>
      <x:c r="B34" s="35" t="str">
        <x:v>Official company leadership page</x:v>
      </x:c>
      <x:c r="C34" s="35" t="str">
        <x:v>ACC-001</x:v>
      </x:c>
      <x:c r="D34" s="35" t="str">
        <x:v>CON-004</x:v>
      </x:c>
      <x:c r="E34" s="35" t="str">
        <x:v>Vidhi Shanghvi — Executive Director.</x:v>
      </x:c>
      <x:c r="F34" s="38" t="n">
        <x:v>46295</x:v>
      </x:c>
      <x:c r="G34" s="35" t="str">
        <x:v>Verified official source / high</x:v>
      </x:c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 t="str">
        <x:v>https://sunpharma.com/board-of-directors/</x:v>
      </x:c>
      <x:c r="B35" s="35" t="str">
        <x:v>Official company leadership page</x:v>
      </x:c>
      <x:c r="C35" s="35" t="str">
        <x:v>ACC-001</x:v>
      </x:c>
      <x:c r="D35" s="35" t="str">
        <x:v>CON-005</x:v>
      </x:c>
      <x:c r="E35" s="35" t="str">
        <x:v>Pawan Goenka — Lead Independent Director.</x:v>
      </x:c>
      <x:c r="F35" s="38" t="n">
        <x:v>46295</x:v>
      </x:c>
      <x:c r="G35" s="35" t="str">
        <x:v>Verified official source / high</x:v>
      </x:c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 t="str">
        <x:v>https://sunpharma.com/board-of-directors/</x:v>
      </x:c>
      <x:c r="B36" s="35" t="str">
        <x:v>Official company leadership page</x:v>
      </x:c>
      <x:c r="C36" s="35" t="str">
        <x:v>ACC-001</x:v>
      </x:c>
      <x:c r="D36" s="35" t="str">
        <x:v>CON-006</x:v>
      </x:c>
      <x:c r="E36" s="35" t="str">
        <x:v>Gautam Doshi — Independent Director.</x:v>
      </x:c>
      <x:c r="F36" s="38" t="n">
        <x:v>46295</x:v>
      </x:c>
      <x:c r="G36" s="35" t="str">
        <x:v>Verified official source / high</x:v>
      </x:c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 t="str">
        <x:v>https://sunpharma.com/board-of-directors/</x:v>
      </x:c>
      <x:c r="B37" s="35" t="str">
        <x:v>Official company leadership page</x:v>
      </x:c>
      <x:c r="C37" s="35" t="str">
        <x:v>ACC-001</x:v>
      </x:c>
      <x:c r="D37" s="35" t="str">
        <x:v>CON-007</x:v>
      </x:c>
      <x:c r="E37" s="35" t="str">
        <x:v>Andreas Eugen Busch — Independent Director.</x:v>
      </x:c>
      <x:c r="F37" s="38" t="n">
        <x:v>46295</x:v>
      </x:c>
      <x:c r="G37" s="35" t="str">
        <x:v>Verified official source / high</x:v>
      </x:c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 t="str">
        <x:v>https://sunpharma.com/board-of-directors/</x:v>
      </x:c>
      <x:c r="B38" s="35" t="str">
        <x:v>Official company leadership page</x:v>
      </x:c>
      <x:c r="C38" s="35" t="str">
        <x:v>ACC-001</x:v>
      </x:c>
      <x:c r="D38" s="35" t="str">
        <x:v>CON-008</x:v>
      </x:c>
      <x:c r="E38" s="35" t="str">
        <x:v>Rolf Hoffmann — Independent Director.</x:v>
      </x:c>
      <x:c r="F38" s="38" t="n">
        <x:v>46295</x:v>
      </x:c>
      <x:c r="G38" s="35" t="str">
        <x:v>Verified official source / high</x:v>
      </x:c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 t="str">
        <x:v>https://sunpharma.com/board-of-directors/</x:v>
      </x:c>
      <x:c r="B39" s="35" t="str">
        <x:v>Official company leadership page</x:v>
      </x:c>
      <x:c r="C39" s="35" t="str">
        <x:v>ACC-001</x:v>
      </x:c>
      <x:c r="D39" s="35" t="str">
        <x:v>CON-009</x:v>
      </x:c>
      <x:c r="E39" s="35" t="str">
        <x:v>Satyavati Berera — Independent Director.</x:v>
      </x:c>
      <x:c r="F39" s="38" t="n">
        <x:v>46295</x:v>
      </x:c>
      <x:c r="G39" s="35" t="str">
        <x:v>Verified official source / high</x:v>
      </x:c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 t="str">
        <x:v>https://sunpharma.com/board-of-directors/</x:v>
      </x:c>
      <x:c r="B40" s="35" t="str">
        <x:v>Official company leadership page</x:v>
      </x:c>
      <x:c r="C40" s="35" t="str">
        <x:v>ACC-001</x:v>
      </x:c>
      <x:c r="D40" s="35" t="str">
        <x:v>CON-010</x:v>
      </x:c>
      <x:c r="E40" s="35" t="str">
        <x:v>Kalyanasundaram Subramanian — Executive Director.</x:v>
      </x:c>
      <x:c r="F40" s="38" t="n">
        <x:v>46295</x:v>
      </x:c>
      <x:c r="G40" s="35" t="str">
        <x:v>Verified official source / high</x:v>
      </x:c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 t="str">
        <x:v>https://sunpharma.com/board-of-directors/</x:v>
      </x:c>
      <x:c r="B41" s="35" t="str">
        <x:v>Official company leadership page</x:v>
      </x:c>
      <x:c r="C41" s="35" t="str">
        <x:v>ACC-001</x:v>
      </x:c>
      <x:c r="D41" s="35" t="str">
        <x:v>CON-011</x:v>
      </x:c>
      <x:c r="E41" s="35" t="str">
        <x:v>Jayashree Satagopan — Chief Financial Officer.</x:v>
      </x:c>
      <x:c r="F41" s="38" t="n">
        <x:v>46295</x:v>
      </x:c>
      <x:c r="G41" s="35" t="str">
        <x:v>Verified official source / high</x:v>
      </x:c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 t="str">
        <x:v>https://sunpharma.com/board-of-directors/</x:v>
      </x:c>
      <x:c r="B42" s="35" t="str">
        <x:v>Official company leadership page</x:v>
      </x:c>
      <x:c r="C42" s="35" t="str">
        <x:v>ACC-001</x:v>
      </x:c>
      <x:c r="D42" s="35" t="str">
        <x:v>CON-012</x:v>
      </x:c>
      <x:c r="E42" s="35" t="str">
        <x:v>Anoop Deshpande — Company Secretary &amp; Compliance Officer.</x:v>
      </x:c>
      <x:c r="F42" s="38" t="n">
        <x:v>46295</x:v>
      </x:c>
      <x:c r="G42" s="35" t="str">
        <x:v>Verified official source / high</x:v>
      </x:c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 t="str">
        <x:v>https://sunpharma.com/board-of-directors/</x:v>
      </x:c>
      <x:c r="B43" s="35" t="str">
        <x:v>Official company leadership page</x:v>
      </x:c>
      <x:c r="C43" s="35" t="str">
        <x:v>ACC-001</x:v>
      </x:c>
      <x:c r="D43" s="35" t="str">
        <x:v>CON-013</x:v>
      </x:c>
      <x:c r="E43" s="35" t="str">
        <x:v>Rama Bijapurkar — Independent Director.</x:v>
      </x:c>
      <x:c r="F43" s="38" t="n">
        <x:v>46295</x:v>
      </x:c>
      <x:c r="G43" s="35" t="str">
        <x:v>Verified official source / high</x:v>
      </x:c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 t="str">
        <x:v>https://sunpharma.com/board-of-directors/</x:v>
      </x:c>
      <x:c r="B44" s="35" t="str">
        <x:v>Official company leadership page</x:v>
      </x:c>
      <x:c r="C44" s="35" t="str">
        <x:v>ACC-001</x:v>
      </x:c>
      <x:c r="D44" s="35" t="str">
        <x:v>CON-014</x:v>
      </x:c>
      <x:c r="E44" s="35" t="str">
        <x:v>Sapna Purohit — Senior Vice President, Head of Human Resources.</x:v>
      </x:c>
      <x:c r="F44" s="38" t="n">
        <x:v>46295</x:v>
      </x:c>
      <x:c r="G44" s="35" t="str">
        <x:v>Unverified; recheck official company source</x:v>
      </x:c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 t="str">
        <x:v>https://sunpharma.com/board-of-directors/</x:v>
      </x:c>
      <x:c r="B45" s="35" t="str">
        <x:v>Official company leadership page</x:v>
      </x:c>
      <x:c r="C45" s="35" t="str">
        <x:v>ACC-001</x:v>
      </x:c>
      <x:c r="D45" s="35" t="str">
        <x:v>CON-015</x:v>
      </x:c>
      <x:c r="E45" s="35" t="str">
        <x:v>Anilkumar Jain — CEO, API Business.</x:v>
      </x:c>
      <x:c r="F45" s="38" t="n">
        <x:v>46295</x:v>
      </x:c>
      <x:c r="G45" s="35" t="str">
        <x:v>Unverified; recheck official company source</x:v>
      </x:c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 t="str">
        <x:v>https://api.drreddys.com/pt-pt/events/cphi-india-2025</x:v>
      </x:c>
      <x:c r="B46" s="35" t="str">
        <x:v>Official company leadership page</x:v>
      </x:c>
      <x:c r="C46" s="35" t="str">
        <x:v>ACC-002</x:v>
      </x:c>
      <x:c r="D46" s="35" t="str">
        <x:v>CON-016</x:v>
      </x:c>
      <x:c r="E46" s="35" t="str">
        <x:v>Deepak Sapra — CEO, Pharmaceutical Services and Active Ingredients.</x:v>
      </x:c>
      <x:c r="F46" s="38" t="n">
        <x:v>46295</x:v>
      </x:c>
      <x:c r="G46" s="35" t="str">
        <x:v>Verified official source / high</x:v>
      </x:c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 t="str">
        <x:v>https://api.drreddys.com/pt-pt/events/cphi-india-2025</x:v>
      </x:c>
      <x:c r="B47" s="35" t="str">
        <x:v>Official company leadership page</x:v>
      </x:c>
      <x:c r="C47" s="35" t="str">
        <x:v>ACC-002</x:v>
      </x:c>
      <x:c r="D47" s="35" t="str">
        <x:v>CON-017</x:v>
      </x:c>
      <x:c r="E47" s="35" t="str">
        <x:v>A Kalyan Chakravarthy — Executive VP &amp; Head - SEAMEA &amp; B2B Formulations.</x:v>
      </x:c>
      <x:c r="F47" s="38" t="n">
        <x:v>46295</x:v>
      </x:c>
      <x:c r="G47" s="35" t="str">
        <x:v>Verified official source / high</x:v>
      </x:c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 t="str">
        <x:v>https://api.drreddys.com/pt-pt/events/cphi-india-2025</x:v>
      </x:c>
      <x:c r="B48" s="35" t="str">
        <x:v>Official company leadership page</x:v>
      </x:c>
      <x:c r="C48" s="35" t="str">
        <x:v>ACC-002</x:v>
      </x:c>
      <x:c r="D48" s="35" t="str">
        <x:v>CON-018</x:v>
      </x:c>
      <x:c r="E48" s="35" t="str">
        <x:v>B Vivek — Executive VP &amp; Global Head - Supply, Demand Planning &amp; Delivery.</x:v>
      </x:c>
      <x:c r="F48" s="38" t="n">
        <x:v>46295</x:v>
      </x:c>
      <x:c r="G48" s="35" t="str">
        <x:v>Verified official source / high</x:v>
      </x:c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 t="str">
        <x:v>https://api.drreddys.com/pt-pt/events/cphi-india-2025</x:v>
      </x:c>
      <x:c r="B49" s="35" t="str">
        <x:v>Official company leadership page</x:v>
      </x:c>
      <x:c r="C49" s="35" t="str">
        <x:v>ACC-002</x:v>
      </x:c>
      <x:c r="D49" s="35" t="str">
        <x:v>CON-019</x:v>
      </x:c>
      <x:c r="E49" s="35" t="str">
        <x:v>E Sreedhar — Executive Vice President, Global Regulatory Affairs.</x:v>
      </x:c>
      <x:c r="F49" s="38" t="n">
        <x:v>46295</x:v>
      </x:c>
      <x:c r="G49" s="35" t="str">
        <x:v>Verified official source / high</x:v>
      </x:c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 t="str">
        <x:v>https://api.drreddys.com/pt-pt/events/cphi-india-2025</x:v>
      </x:c>
      <x:c r="B50" s="35" t="str">
        <x:v>Official company leadership page</x:v>
      </x:c>
      <x:c r="C50" s="35" t="str">
        <x:v>ACC-002</x:v>
      </x:c>
      <x:c r="D50" s="35" t="str">
        <x:v>CON-020</x:v>
      </x:c>
      <x:c r="E50" s="35" t="str">
        <x:v>Ashwinikumar Kulkarni — Vice President &amp; Global Head - Demand Planning, Customer Support &amp; Program Management.</x:v>
      </x:c>
      <x:c r="F50" s="38" t="n">
        <x:v>46295</x:v>
      </x:c>
      <x:c r="G50" s="35" t="str">
        <x:v>Verified official source / high</x:v>
      </x:c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 t="str">
        <x:v>https://api.drreddys.com/pt-pt/events/cphi-india-2025</x:v>
      </x:c>
      <x:c r="B51" s="35" t="str">
        <x:v>Official company leadership page</x:v>
      </x:c>
      <x:c r="C51" s="35" t="str">
        <x:v>ACC-002</x:v>
      </x:c>
      <x:c r="D51" s="35" t="str">
        <x:v>CON-021</x:v>
      </x:c>
      <x:c r="E51" s="35" t="str">
        <x:v>Siddhartha Deshpande — Associate Vice President, API Sales &amp; BD.</x:v>
      </x:c>
      <x:c r="F51" s="38" t="n">
        <x:v>46295</x:v>
      </x:c>
      <x:c r="G51" s="35" t="str">
        <x:v>Verified official source / high</x:v>
      </x:c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 t="str">
        <x:v>https://api.drreddys.com/pt-pt/events/cphi-india-2025</x:v>
      </x:c>
      <x:c r="B52" s="35" t="str">
        <x:v>Official company leadership page</x:v>
      </x:c>
      <x:c r="C52" s="35" t="str">
        <x:v>ACC-002</x:v>
      </x:c>
      <x:c r="D52" s="35" t="str">
        <x:v>CON-022</x:v>
      </x:c>
      <x:c r="E52" s="35" t="str">
        <x:v>Vishal N Bhojak — Director, Sales &amp; Marketing - India &amp; South Asia.</x:v>
      </x:c>
      <x:c r="F52" s="38" t="n">
        <x:v>46295</x:v>
      </x:c>
      <x:c r="G52" s="35" t="str">
        <x:v>Verified official source / high</x:v>
      </x:c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 t="str">
        <x:v>https://api.drreddys.com/pt-pt/events/cphi-india-2025</x:v>
      </x:c>
      <x:c r="B53" s="35" t="str">
        <x:v>Official company leadership page</x:v>
      </x:c>
      <x:c r="C53" s="35" t="str">
        <x:v>ACC-002</x:v>
      </x:c>
      <x:c r="D53" s="35" t="str">
        <x:v>CON-023</x:v>
      </x:c>
      <x:c r="E53" s="35" t="str">
        <x:v>Susmit Dey — Director, Sales &amp; BD – API and B2B Formulations, SSEA.</x:v>
      </x:c>
      <x:c r="F53" s="38" t="n">
        <x:v>46295</x:v>
      </x:c>
      <x:c r="G53" s="35" t="str">
        <x:v>Verified official source / high</x:v>
      </x:c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 t="str">
        <x:v>https://api.drreddys.com/pt-pt/events/cphi-india-2025</x:v>
      </x:c>
      <x:c r="B54" s="35" t="str">
        <x:v>Official company leadership page</x:v>
      </x:c>
      <x:c r="C54" s="35" t="str">
        <x:v>ACC-002</x:v>
      </x:c>
      <x:c r="D54" s="35" t="str">
        <x:v>CON-024</x:v>
      </x:c>
      <x:c r="E54" s="35" t="str">
        <x:v>Mukesh Rathi — Chief Digital and Information Officer.</x:v>
      </x:c>
      <x:c r="F54" s="38" t="n">
        <x:v>46295</x:v>
      </x:c>
      <x:c r="G54" s="35" t="str">
        <x:v>Verified official source / high</x:v>
      </x:c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 t="str">
        <x:v>https://api.drreddys.com/pt-pt/events/cphi-india-2025</x:v>
      </x:c>
      <x:c r="B55" s="35" t="str">
        <x:v>Official company leadership page</x:v>
      </x:c>
      <x:c r="C55" s="35" t="str">
        <x:v>ACC-002</x:v>
      </x:c>
      <x:c r="D55" s="35" t="str">
        <x:v>CON-025</x:v>
      </x:c>
      <x:c r="E55" s="35" t="str">
        <x:v>Jayanth Sridhar — Global Head Biologics.</x:v>
      </x:c>
      <x:c r="F55" s="38" t="n">
        <x:v>46295</x:v>
      </x:c>
      <x:c r="G55" s="35" t="str">
        <x:v>Verified official source / high</x:v>
      </x:c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 t="str">
        <x:v>https://www.cipla.com/node/713474</x:v>
      </x:c>
      <x:c r="B56" s="35" t="str">
        <x:v>Official company leadership page</x:v>
      </x:c>
      <x:c r="C56" s="35" t="str">
        <x:v>ACC-003</x:v>
      </x:c>
      <x:c r="D56" s="35" t="str">
        <x:v>CON-026</x:v>
      </x:c>
      <x:c r="E56" s="35" t="str">
        <x:v>Achin Gupta — Managing Director and Global Chief Executive Officer.</x:v>
      </x:c>
      <x:c r="F56" s="38" t="n">
        <x:v>46295</x:v>
      </x:c>
      <x:c r="G56" s="35" t="str">
        <x:v>Verified official source / high</x:v>
      </x:c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 t="str">
        <x:v>https://www.cipla.com/node/713474</x:v>
      </x:c>
      <x:c r="B57" s="35" t="str">
        <x:v>Official company leadership page</x:v>
      </x:c>
      <x:c r="C57" s="35" t="str">
        <x:v>ACC-003</x:v>
      </x:c>
      <x:c r="D57" s="35" t="str">
        <x:v>CON-027</x:v>
      </x:c>
      <x:c r="E57" s="35" t="str">
        <x:v>Y K Hamied — Non-Executive Chairman.</x:v>
      </x:c>
      <x:c r="F57" s="38" t="n">
        <x:v>46295</x:v>
      </x:c>
      <x:c r="G57" s="35" t="str">
        <x:v>Verified official source / high</x:v>
      </x:c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 t="str">
        <x:v>https://www.cipla.com/node/713474</x:v>
      </x:c>
      <x:c r="B58" s="35" t="str">
        <x:v>Official company leadership page</x:v>
      </x:c>
      <x:c r="C58" s="35" t="str">
        <x:v>ACC-003</x:v>
      </x:c>
      <x:c r="D58" s="35" t="str">
        <x:v>CON-028</x:v>
      </x:c>
      <x:c r="E58" s="35" t="str">
        <x:v>Umang Vohra — Former MD &amp; Global CEO.</x:v>
      </x:c>
      <x:c r="F58" s="38" t="n">
        <x:v>46295</x:v>
      </x:c>
      <x:c r="G58" s="35" t="str">
        <x:v>Unverified; recheck official company source</x:v>
      </x:c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 t="str">
        <x:v>https://www.cipla.com/node/713474</x:v>
      </x:c>
      <x:c r="B59" s="35" t="str">
        <x:v>Official company leadership page</x:v>
      </x:c>
      <x:c r="C59" s="35" t="str">
        <x:v>ACC-003</x:v>
      </x:c>
      <x:c r="D59" s="35" t="str">
        <x:v>CON-029</x:v>
      </x:c>
      <x:c r="E59" s="35" t="str">
        <x:v>Nikhil Chopra — Chief Executive Officer, India Business.</x:v>
      </x:c>
      <x:c r="F59" s="38" t="n">
        <x:v>46295</x:v>
      </x:c>
      <x:c r="G59" s="35" t="str">
        <x:v>Unverified; recheck official company source</x:v>
      </x:c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 t="str">
        <x:v>https://www.cipla.com/node/713474</x:v>
      </x:c>
      <x:c r="B60" s="35" t="str">
        <x:v>Official company leadership page</x:v>
      </x:c>
      <x:c r="C60" s="35" t="str">
        <x:v>ACC-003</x:v>
      </x:c>
      <x:c r="D60" s="35" t="str">
        <x:v>CON-030</x:v>
      </x:c>
      <x:c r="E60" s="35" t="str">
        <x:v>Saugata Gupta — Independent Director.</x:v>
      </x:c>
      <x:c r="F60" s="38" t="n">
        <x:v>46295</x:v>
      </x:c>
      <x:c r="G60" s="35" t="str">
        <x:v>Unverified; recheck official company source</x:v>
      </x:c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 t="str">
        <x:v>https://www.biocon.com/about-us/executive-committee/</x:v>
      </x:c>
      <x:c r="B61" s="35" t="str">
        <x:v>Official company leadership page</x:v>
      </x:c>
      <x:c r="C61" s="35" t="str">
        <x:v>ACC-004</x:v>
      </x:c>
      <x:c r="D61" s="35" t="str">
        <x:v>CON-031</x:v>
      </x:c>
      <x:c r="E61" s="35" t="str">
        <x:v>Shreehas P Tambe — Chief Executive Officer and Managing Director.</x:v>
      </x:c>
      <x:c r="F61" s="38" t="n">
        <x:v>46295</x:v>
      </x:c>
      <x:c r="G61" s="35" t="str">
        <x:v>Verified official source / high</x:v>
      </x:c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 t="str">
        <x:v>https://www.biocon.com/about-us/executive-committee/</x:v>
      </x:c>
      <x:c r="B62" s="35" t="str">
        <x:v>Official company leadership page</x:v>
      </x:c>
      <x:c r="C62" s="35" t="str">
        <x:v>ACC-004</x:v>
      </x:c>
      <x:c r="D62" s="35" t="str">
        <x:v>CON-032</x:v>
      </x:c>
      <x:c r="E62" s="35" t="str">
        <x:v>Anuj Goel — Chief Development Officer.</x:v>
      </x:c>
      <x:c r="F62" s="38" t="n">
        <x:v>46295</x:v>
      </x:c>
      <x:c r="G62" s="35" t="str">
        <x:v>Verified official source / high</x:v>
      </x:c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 t="str">
        <x:v>https://www.biocon.com/about-us/executive-committee/</x:v>
      </x:c>
      <x:c r="B63" s="35" t="str">
        <x:v>Official company leadership page</x:v>
      </x:c>
      <x:c r="C63" s="35" t="str">
        <x:v>ACC-004</x:v>
      </x:c>
      <x:c r="D63" s="35" t="str">
        <x:v>CON-033</x:v>
      </x:c>
      <x:c r="E63" s="35" t="str">
        <x:v>Kedar Upadhye — Chief Financial Officer.</x:v>
      </x:c>
      <x:c r="F63" s="38" t="n">
        <x:v>46295</x:v>
      </x:c>
      <x:c r="G63" s="35" t="str">
        <x:v>Verified official source / high</x:v>
      </x:c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 t="str">
        <x:v>https://www.biocon.com/about-us/executive-committee/</x:v>
      </x:c>
      <x:c r="B64" s="35" t="str">
        <x:v>Official company leadership page</x:v>
      </x:c>
      <x:c r="C64" s="35" t="str">
        <x:v>ACC-004</x:v>
      </x:c>
      <x:c r="D64" s="35" t="str">
        <x:v>CON-034</x:v>
      </x:c>
      <x:c r="E64" s="35" t="str">
        <x:v>Mandar S Ghatnekar — Chief Technology Officer.</x:v>
      </x:c>
      <x:c r="F64" s="38" t="n">
        <x:v>46295</x:v>
      </x:c>
      <x:c r="G64" s="35" t="str">
        <x:v>Verified official source / high</x:v>
      </x:c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 t="str">
        <x:v>https://www.biocon.com/about-us/executive-committee/</x:v>
      </x:c>
      <x:c r="B65" s="35" t="str">
        <x:v>Official company leadership page</x:v>
      </x:c>
      <x:c r="C65" s="35" t="str">
        <x:v>ACC-004</x:v>
      </x:c>
      <x:c r="D65" s="35" t="str">
        <x:v>CON-035</x:v>
      </x:c>
      <x:c r="E65" s="35" t="str">
        <x:v>Matthew Erick — Chief Commercial Officer – Advanced Markets.</x:v>
      </x:c>
      <x:c r="F65" s="38" t="n">
        <x:v>46295</x:v>
      </x:c>
      <x:c r="G65" s="35" t="str">
        <x:v>Verified official source / high</x:v>
      </x:c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 t="str">
        <x:v>https://www.biocon.com/about-us/executive-committee/</x:v>
      </x:c>
      <x:c r="B66" s="35" t="str">
        <x:v>Official company leadership page</x:v>
      </x:c>
      <x:c r="C66" s="35" t="str">
        <x:v>ACC-004</x:v>
      </x:c>
      <x:c r="D66" s="35" t="str">
        <x:v>CON-036</x:v>
      </x:c>
      <x:c r="E66" s="35" t="str">
        <x:v>Naveen Narayanan — Chief Human Resources Officer.</x:v>
      </x:c>
      <x:c r="F66" s="38" t="n">
        <x:v>46295</x:v>
      </x:c>
      <x:c r="G66" s="35" t="str">
        <x:v>Verified official source / high</x:v>
      </x:c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 t="str">
        <x:v>https://www.biocon.com/about-us/executive-committee/</x:v>
      </x:c>
      <x:c r="B67" s="35" t="str">
        <x:v>Official company leadership page</x:v>
      </x:c>
      <x:c r="C67" s="35" t="str">
        <x:v>ACC-004</x:v>
      </x:c>
      <x:c r="D67" s="35" t="str">
        <x:v>CON-037</x:v>
      </x:c>
      <x:c r="E67" s="35" t="str">
        <x:v>Rhonda Duffy — Chief Operations Officer.</x:v>
      </x:c>
      <x:c r="F67" s="38" t="n">
        <x:v>46295</x:v>
      </x:c>
      <x:c r="G67" s="35" t="str">
        <x:v>Verified official source / high</x:v>
      </x:c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 t="str">
        <x:v>https://www.biocon.com/about-us/executive-committee/</x:v>
      </x:c>
      <x:c r="B68" s="35" t="str">
        <x:v>Official company leadership page</x:v>
      </x:c>
      <x:c r="C68" s="35" t="str">
        <x:v>ACC-004</x:v>
      </x:c>
      <x:c r="D68" s="35" t="str">
        <x:v>CON-038</x:v>
      </x:c>
      <x:c r="E68" s="35" t="str">
        <x:v>Susheel Umesh — Chief Commercial Officer – Emerging Markets and Head of Global API &amp; Global BD.</x:v>
      </x:c>
      <x:c r="F68" s="38" t="n">
        <x:v>46295</x:v>
      </x:c>
      <x:c r="G68" s="35" t="str">
        <x:v>Verified official source / high</x:v>
      </x:c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 t="str">
        <x:v>https://www.biocon.com/about-us/executive-committee/</x:v>
      </x:c>
      <x:c r="B69" s="35" t="str">
        <x:v>Official company leadership page</x:v>
      </x:c>
      <x:c r="C69" s="35" t="str">
        <x:v>ACC-004</x:v>
      </x:c>
      <x:c r="D69" s="35" t="str">
        <x:v>CON-039</x:v>
      </x:c>
      <x:c r="E69" s="35" t="str">
        <x:v>Akhilesh Nand — Global Head – Governance, Risk, Compliance.</x:v>
      </x:c>
      <x:c r="F69" s="38" t="n">
        <x:v>46295</x:v>
      </x:c>
      <x:c r="G69" s="35" t="str">
        <x:v>Verified official source / high</x:v>
      </x:c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 t="str">
        <x:v>https://www.biocon.com/about-us/executive-committee/</x:v>
      </x:c>
      <x:c r="B70" s="35" t="str">
        <x:v>Official company leadership page</x:v>
      </x:c>
      <x:c r="C70" s="35" t="str">
        <x:v>ACC-004</x:v>
      </x:c>
      <x:c r="D70" s="35" t="str">
        <x:v>CON-040</x:v>
      </x:c>
      <x:c r="E70" s="35" t="str">
        <x:v>Deepali Naair — Global Head of Brand, Marketing &amp; Corporate Communications.</x:v>
      </x:c>
      <x:c r="F70" s="38" t="n">
        <x:v>46295</x:v>
      </x:c>
      <x:c r="G70" s="35" t="str">
        <x:v>Verified official source / high</x:v>
      </x:c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 t="str">
        <x:v>https://www.biocon.com/about-us/executive-committee/</x:v>
      </x:c>
      <x:c r="B71" s="35" t="str">
        <x:v>Official company leadership page</x:v>
      </x:c>
      <x:c r="C71" s="35" t="str">
        <x:v>ACC-004</x:v>
      </x:c>
      <x:c r="D71" s="35" t="str">
        <x:v>CON-041</x:v>
      </x:c>
      <x:c r="E71" s="35" t="str">
        <x:v>Kathleen Blanchard — Global General Counsel.</x:v>
      </x:c>
      <x:c r="F71" s="38" t="n">
        <x:v>46295</x:v>
      </x:c>
      <x:c r="G71" s="35" t="str">
        <x:v>Verified official source / high</x:v>
      </x:c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 t="str">
        <x:v>https://www.biocon.com/about-us/executive-committee/</x:v>
      </x:c>
      <x:c r="B72" s="35" t="str">
        <x:v>Official company leadership page</x:v>
      </x:c>
      <x:c r="C72" s="35" t="str">
        <x:v>ACC-004</x:v>
      </x:c>
      <x:c r="D72" s="35" t="str">
        <x:v>CON-042</x:v>
      </x:c>
      <x:c r="E72" s="35" t="str">
        <x:v>Kiran Mazumdar-Shaw — Executive Chairperson.</x:v>
      </x:c>
      <x:c r="F72" s="38" t="n">
        <x:v>46295</x:v>
      </x:c>
      <x:c r="G72" s="35" t="str">
        <x:v>Verified official source / high</x:v>
      </x:c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 t="str">
        <x:v>https://lupin.com/about-us/leadership</x:v>
      </x:c>
      <x:c r="B73" s="35" t="str">
        <x:v>Official company leadership page</x:v>
      </x:c>
      <x:c r="C73" s="35" t="str">
        <x:v>ACC-005</x:v>
      </x:c>
      <x:c r="D73" s="35" t="str">
        <x:v>CON-043</x:v>
      </x:c>
      <x:c r="E73" s="35" t="str">
        <x:v>Manju D Gupta — Chairperson (Non-Executive).</x:v>
      </x:c>
      <x:c r="F73" s="38" t="n">
        <x:v>46295</x:v>
      </x:c>
      <x:c r="G73" s="35" t="str">
        <x:v>Verified official source / high</x:v>
      </x:c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 t="str">
        <x:v>https://lupin.com/about-us/leadership</x:v>
      </x:c>
      <x:c r="B74" s="35" t="str">
        <x:v>Official company leadership page</x:v>
      </x:c>
      <x:c r="C74" s="35" t="str">
        <x:v>ACC-005</x:v>
      </x:c>
      <x:c r="D74" s="35" t="str">
        <x:v>CON-044</x:v>
      </x:c>
      <x:c r="E74" s="35" t="str">
        <x:v>Vinita Gupta — Chief Executive Officer.</x:v>
      </x:c>
      <x:c r="F74" s="38" t="n">
        <x:v>46295</x:v>
      </x:c>
      <x:c r="G74" s="35" t="str">
        <x:v>Verified official source / high</x:v>
      </x:c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 t="str">
        <x:v>https://lupin.com/about-us/leadership</x:v>
      </x:c>
      <x:c r="B75" s="35" t="str">
        <x:v>Official company leadership page</x:v>
      </x:c>
      <x:c r="C75" s="35" t="str">
        <x:v>ACC-005</x:v>
      </x:c>
      <x:c r="D75" s="35" t="str">
        <x:v>CON-045</x:v>
      </x:c>
      <x:c r="E75" s="35" t="str">
        <x:v>Nilesh D Gupta — Managing Director.</x:v>
      </x:c>
      <x:c r="F75" s="38" t="n">
        <x:v>46295</x:v>
      </x:c>
      <x:c r="G75" s="35" t="str">
        <x:v>Verified official source / high</x:v>
      </x:c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 t="str">
        <x:v>https://lupin.com/about-us/leadership</x:v>
      </x:c>
      <x:c r="B76" s="35" t="str">
        <x:v>Official company leadership page</x:v>
      </x:c>
      <x:c r="C76" s="35" t="str">
        <x:v>ACC-005</x:v>
      </x:c>
      <x:c r="D76" s="35" t="str">
        <x:v>CON-046</x:v>
      </x:c>
      <x:c r="E76" s="35" t="str">
        <x:v>Ramesh Swaminathan — Executive Director, Global CFO, Head of IT and API Plus SBU.</x:v>
      </x:c>
      <x:c r="F76" s="38" t="n">
        <x:v>46295</x:v>
      </x:c>
      <x:c r="G76" s="35" t="str">
        <x:v>Verified official source / high</x:v>
      </x:c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 t="str">
        <x:v>https://lupin.com/about-us/leadership</x:v>
      </x:c>
      <x:c r="B77" s="35" t="str">
        <x:v>Official company leadership page</x:v>
      </x:c>
      <x:c r="C77" s="35" t="str">
        <x:v>ACC-005</x:v>
      </x:c>
      <x:c r="D77" s="35" t="str">
        <x:v>CON-047</x:v>
      </x:c>
      <x:c r="E77" s="35" t="str">
        <x:v>Abdelaziz Toumi — CEO – Lupin Manufacturing Solutions.</x:v>
      </x:c>
      <x:c r="F77" s="38" t="n">
        <x:v>46295</x:v>
      </x:c>
      <x:c r="G77" s="35" t="str">
        <x:v>Verified official source / high</x:v>
      </x:c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 t="str">
        <x:v>https://lupin.com/about-us/leadership</x:v>
      </x:c>
      <x:c r="B78" s="35" t="str">
        <x:v>Official company leadership page</x:v>
      </x:c>
      <x:c r="C78" s="35" t="str">
        <x:v>ACC-005</x:v>
      </x:c>
      <x:c r="D78" s="35" t="str">
        <x:v>CON-048</x:v>
      </x:c>
      <x:c r="E78" s="35" t="str">
        <x:v>Christoph Funke — Chief Technical Operations Officer.</x:v>
      </x:c>
      <x:c r="F78" s="38" t="n">
        <x:v>46295</x:v>
      </x:c>
      <x:c r="G78" s="35" t="str">
        <x:v>Verified official source / high</x:v>
      </x:c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 t="str">
        <x:v>https://lupin.com/about-us/leadership</x:v>
      </x:c>
      <x:c r="B79" s="35" t="str">
        <x:v>Official company leadership page</x:v>
      </x:c>
      <x:c r="C79" s="35" t="str">
        <x:v>ACC-005</x:v>
      </x:c>
      <x:c r="D79" s="35" t="str">
        <x:v>CON-049</x:v>
      </x:c>
      <x:c r="E79" s="35" t="str">
        <x:v>Claus Jepsen — President – Global Specialty.</x:v>
      </x:c>
      <x:c r="F79" s="38" t="n">
        <x:v>46295</x:v>
      </x:c>
      <x:c r="G79" s="35" t="str">
        <x:v>Verified official source / high</x:v>
      </x:c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 t="str">
        <x:v>https://lupin.com/about-us/leadership</x:v>
      </x:c>
      <x:c r="B80" s="35" t="str">
        <x:v>Official company leadership page</x:v>
      </x:c>
      <x:c r="C80" s="35" t="str">
        <x:v>ACC-005</x:v>
      </x:c>
      <x:c r="D80" s="35" t="str">
        <x:v>CON-050</x:v>
      </x:c>
      <x:c r="E80" s="35" t="str">
        <x:v>Cyrus Karkaria — President – Biotech Businesses.</x:v>
      </x:c>
      <x:c r="F80" s="38" t="n">
        <x:v>46295</x:v>
      </x:c>
      <x:c r="G80" s="35" t="str">
        <x:v>Verified official source / high</x:v>
      </x:c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 t="str">
        <x:v>https://lupin.com/about-us/leadership</x:v>
      </x:c>
      <x:c r="B81" s="35" t="str">
        <x:v>Official company leadership page</x:v>
      </x:c>
      <x:c r="C81" s="35" t="str">
        <x:v>ACC-005</x:v>
      </x:c>
      <x:c r="D81" s="35" t="str">
        <x:v>CON-051</x:v>
      </x:c>
      <x:c r="E81" s="35" t="str">
        <x:v>Fabrice Egros — President – Corporate Development.</x:v>
      </x:c>
      <x:c r="F81" s="38" t="n">
        <x:v>46295</x:v>
      </x:c>
      <x:c r="G81" s="35" t="str">
        <x:v>Verified official source / high</x:v>
      </x:c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 t="str">
        <x:v>https://lupin.com/about-us/leadership</x:v>
      </x:c>
      <x:c r="B82" s="35" t="str">
        <x:v>Official company leadership page</x:v>
      </x:c>
      <x:c r="C82" s="35" t="str">
        <x:v>ACC-005</x:v>
      </x:c>
      <x:c r="D82" s="35" t="str">
        <x:v>CON-052</x:v>
      </x:c>
      <x:c r="E82" s="35" t="str">
        <x:v>Ranjana Pathak — Chief Quality Officer.</x:v>
      </x:c>
      <x:c r="F82" s="38" t="n">
        <x:v>46295</x:v>
      </x:c>
      <x:c r="G82" s="35" t="str">
        <x:v>Verified official source / high</x:v>
      </x:c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 t="str">
        <x:v>https://lupin.com/about-us/leadership</x:v>
      </x:c>
      <x:c r="B83" s="35" t="str">
        <x:v>Official company leadership page</x:v>
      </x:c>
      <x:c r="C83" s="35" t="str">
        <x:v>ACC-005</x:v>
      </x:c>
      <x:c r="D83" s="35" t="str">
        <x:v>CON-053</x:v>
      </x:c>
      <x:c r="E83" s="35" t="str">
        <x:v>Rajeev Sibal — President – India Region Formulations.</x:v>
      </x:c>
      <x:c r="F83" s="38" t="n">
        <x:v>46295</x:v>
      </x:c>
      <x:c r="G83" s="35" t="str">
        <x:v>Verified official source / high</x:v>
      </x:c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 t="str">
        <x:v>https://lupin.com/about-us/leadership</x:v>
      </x:c>
      <x:c r="B84" s="35" t="str">
        <x:v>Official company leadership page</x:v>
      </x:c>
      <x:c r="C84" s="35" t="str">
        <x:v>ACC-005</x:v>
      </x:c>
      <x:c r="D84" s="35" t="str">
        <x:v>CON-054</x:v>
      </x:c>
      <x:c r="E84" s="35" t="str">
        <x:v>Shahin Fesharaki — Chief Scientific Officer.</x:v>
      </x:c>
      <x:c r="F84" s="38" t="n">
        <x:v>46295</x:v>
      </x:c>
      <x:c r="G84" s="35" t="str">
        <x:v>Verified official source / high</x:v>
      </x:c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 t="str">
        <x:v>https://lupin.com/about-us/leadership</x:v>
      </x:c>
      <x:c r="B85" s="35" t="str">
        <x:v>Official company leadership page</x:v>
      </x:c>
      <x:c r="C85" s="35" t="str">
        <x:v>ACC-005</x:v>
      </x:c>
      <x:c r="D85" s="35" t="str">
        <x:v>CON-055</x:v>
      </x:c>
      <x:c r="E85" s="35" t="str">
        <x:v>Spiro Gavaris — President – U.S. Generics.</x:v>
      </x:c>
      <x:c r="F85" s="38" t="n">
        <x:v>46295</x:v>
      </x:c>
      <x:c r="G85" s="35" t="str">
        <x:v>Verified official source / high</x:v>
      </x:c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 t="str">
        <x:v>https://lupin.com/about-us/leadership</x:v>
      </x:c>
      <x:c r="B86" s="35" t="str">
        <x:v>Official company leadership page</x:v>
      </x:c>
      <x:c r="C86" s="35" t="str">
        <x:v>ACC-005</x:v>
      </x:c>
      <x:c r="D86" s="35" t="str">
        <x:v>CON-056</x:v>
      </x:c>
      <x:c r="E86" s="35" t="str">
        <x:v>Thierry Volle — President – EMEA and Emerging Markets.</x:v>
      </x:c>
      <x:c r="F86" s="38" t="n">
        <x:v>46295</x:v>
      </x:c>
      <x:c r="G86" s="35" t="str">
        <x:v>Verified official source / high</x:v>
      </x:c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 t="str">
        <x:v>https://lupin.com/about-us/leadership</x:v>
      </x:c>
      <x:c r="B87" s="35" t="str">
        <x:v>Official company leadership page</x:v>
      </x:c>
      <x:c r="C87" s="35" t="str">
        <x:v>ACC-005</x:v>
      </x:c>
      <x:c r="D87" s="35" t="str">
        <x:v>CON-057</x:v>
      </x:c>
      <x:c r="E87" s="35" t="str">
        <x:v>Yashwant Mahadik — President – Global Human Resources.</x:v>
      </x:c>
      <x:c r="F87" s="38" t="n">
        <x:v>46295</x:v>
      </x:c>
      <x:c r="G87" s="35" t="str">
        <x:v>Verified official source / high</x:v>
      </x:c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 t="str">
        <x:v>https://lupin.com/about-us/leadership</x:v>
      </x:c>
      <x:c r="B88" s="35" t="str">
        <x:v>Official company leadership page</x:v>
      </x:c>
      <x:c r="C88" s="35" t="str">
        <x:v>ACC-005</x:v>
      </x:c>
      <x:c r="D88" s="35" t="str">
        <x:v>CON-058</x:v>
      </x:c>
      <x:c r="E88" s="35" t="str">
        <x:v>Rajalakshmi Azariah — Vice President and Global Head – Corporate Communications.</x:v>
      </x:c>
      <x:c r="F88" s="38" t="n">
        <x:v>46295</x:v>
      </x:c>
      <x:c r="G88" s="35" t="str">
        <x:v>Verified official source / high</x:v>
      </x:c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 t="str">
        <x:v>https://www.aurobindo.com/about-us/management/board-of-directors</x:v>
      </x:c>
      <x:c r="B89" s="35" t="str">
        <x:v>Official company leadership page</x:v>
      </x:c>
      <x:c r="C89" s="35" t="str">
        <x:v>ACC-006</x:v>
      </x:c>
      <x:c r="D89" s="35" t="str">
        <x:v>CON-059</x:v>
      </x:c>
      <x:c r="E89" s="35" t="str">
        <x:v>Mangalam Ramasubramanian Kumar — Independent Director &amp; Non-Executive Chairman.</x:v>
      </x:c>
      <x:c r="F89" s="38" t="n">
        <x:v>46295</x:v>
      </x:c>
      <x:c r="G89" s="35" t="str">
        <x:v>Verified official source / high</x:v>
      </x:c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 t="str">
        <x:v>https://www.aurobindo.com/about-us/management/board-of-directors</x:v>
      </x:c>
      <x:c r="B90" s="35" t="str">
        <x:v>Official company leadership page</x:v>
      </x:c>
      <x:c r="C90" s="35" t="str">
        <x:v>ACC-006</x:v>
      </x:c>
      <x:c r="D90" s="35" t="str">
        <x:v>CON-060</x:v>
      </x:c>
      <x:c r="E90" s="35" t="str">
        <x:v>K Nityananda Reddy — Vice Chairman &amp; Managing Director.</x:v>
      </x:c>
      <x:c r="F90" s="38" t="n">
        <x:v>46295</x:v>
      </x:c>
      <x:c r="G90" s="35" t="str">
        <x:v>Verified official source / high</x:v>
      </x:c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 t="str">
        <x:v>https://www.aurobindo.com/about-us/management/board-of-directors</x:v>
      </x:c>
      <x:c r="B91" s="35" t="str">
        <x:v>Official company leadership page</x:v>
      </x:c>
      <x:c r="C91" s="35" t="str">
        <x:v>ACC-006</x:v>
      </x:c>
      <x:c r="D91" s="35" t="str">
        <x:v>CON-061</x:v>
      </x:c>
      <x:c r="E91" s="35" t="str">
        <x:v>P V Ram Prasad Reddy — Non-Executive Director.</x:v>
      </x:c>
      <x:c r="F91" s="38" t="n">
        <x:v>46295</x:v>
      </x:c>
      <x:c r="G91" s="35" t="str">
        <x:v>Verified official source / high</x:v>
      </x:c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 t="str">
        <x:v>https://www.aurobindo.com/about-us/management/board-of-directors</x:v>
      </x:c>
      <x:c r="B92" s="35" t="str">
        <x:v>Official company leadership page</x:v>
      </x:c>
      <x:c r="C92" s="35" t="str">
        <x:v>ACC-006</x:v>
      </x:c>
      <x:c r="D92" s="35" t="str">
        <x:v>CON-062</x:v>
      </x:c>
      <x:c r="E92" s="35" t="str">
        <x:v>M Madan Mohan Reddy — Whole Time Director.</x:v>
      </x:c>
      <x:c r="F92" s="38" t="n">
        <x:v>46295</x:v>
      </x:c>
      <x:c r="G92" s="35" t="str">
        <x:v>Verified official source / high</x:v>
      </x:c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 t="str">
        <x:v>https://www.aurobindo.com/about-us/management/board-of-directors</x:v>
      </x:c>
      <x:c r="B93" s="35" t="str">
        <x:v>Official company leadership page</x:v>
      </x:c>
      <x:c r="C93" s="35" t="str">
        <x:v>ACC-006</x:v>
      </x:c>
      <x:c r="D93" s="35" t="str">
        <x:v>CON-063</x:v>
      </x:c>
      <x:c r="E93" s="35" t="str">
        <x:v>P Sarath Chandra Reddy — Non-Executive Director.</x:v>
      </x:c>
      <x:c r="F93" s="38" t="n">
        <x:v>46295</x:v>
      </x:c>
      <x:c r="G93" s="35" t="str">
        <x:v>Verified official source / high</x:v>
      </x:c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 t="str">
        <x:v>https://www.aurobindo.com/about-us/management/board-of-directors</x:v>
      </x:c>
      <x:c r="B94" s="35" t="str">
        <x:v>Official company leadership page</x:v>
      </x:c>
      <x:c r="C94" s="35" t="str">
        <x:v>ACC-006</x:v>
      </x:c>
      <x:c r="D94" s="35" t="str">
        <x:v>CON-064</x:v>
      </x:c>
      <x:c r="E94" s="35" t="str">
        <x:v>Girish Paman Vanvari — Independent Director.</x:v>
      </x:c>
      <x:c r="F94" s="38" t="n">
        <x:v>46295</x:v>
      </x:c>
      <x:c r="G94" s="35" t="str">
        <x:v>Verified official source / high</x:v>
      </x:c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 t="str">
        <x:v>https://www.aurobindo.com/about-us/management/board-of-directors</x:v>
      </x:c>
      <x:c r="B95" s="35" t="str">
        <x:v>Official company leadership page</x:v>
      </x:c>
      <x:c r="C95" s="35" t="str">
        <x:v>ACC-006</x:v>
      </x:c>
      <x:c r="D95" s="35" t="str">
        <x:v>CON-065</x:v>
      </x:c>
      <x:c r="E95" s="35" t="str">
        <x:v>Santanu Mukherjee — Independent Director.</x:v>
      </x:c>
      <x:c r="F95" s="38" t="n">
        <x:v>46295</x:v>
      </x:c>
      <x:c r="G95" s="35" t="str">
        <x:v>Verified official source / high</x:v>
      </x:c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 t="str">
        <x:v>https://www.aurobindo.com/about-us/management/board-of-directors</x:v>
      </x:c>
      <x:c r="B96" s="35" t="str">
        <x:v>Official company leadership page</x:v>
      </x:c>
      <x:c r="C96" s="35" t="str">
        <x:v>ACC-006</x:v>
      </x:c>
      <x:c r="D96" s="35" t="str">
        <x:v>CON-066</x:v>
      </x:c>
      <x:c r="E96" s="35" t="str">
        <x:v>Satakarni Makkapati — Director; CEO, Biologics, Vaccines and Peptides.</x:v>
      </x:c>
      <x:c r="F96" s="38" t="n">
        <x:v>46295</x:v>
      </x:c>
      <x:c r="G96" s="35" t="str">
        <x:v>Verified official source / high</x:v>
      </x:c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 t="str">
        <x:v>https://www.aurobindo.com/about-us/management/board-of-directors</x:v>
      </x:c>
      <x:c r="B97" s="35" t="str">
        <x:v>Official company leadership page</x:v>
      </x:c>
      <x:c r="C97" s="35" t="str">
        <x:v>ACC-006</x:v>
      </x:c>
      <x:c r="D97" s="35" t="str">
        <x:v>CON-067</x:v>
      </x:c>
      <x:c r="E97" s="35" t="str">
        <x:v>Punita Kumar Sinha — Independent Director.</x:v>
      </x:c>
      <x:c r="F97" s="38" t="n">
        <x:v>46295</x:v>
      </x:c>
      <x:c r="G97" s="35" t="str">
        <x:v>Verified official source / high</x:v>
      </x:c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 t="str">
        <x:v>https://alembicpharmaceuticals.com/shareholder-information</x:v>
      </x:c>
      <x:c r="B98" s="35" t="str">
        <x:v>Official company leadership page</x:v>
      </x:c>
      <x:c r="C98" s="35" t="str">
        <x:v>ACC-007</x:v>
      </x:c>
      <x:c r="D98" s="35" t="str">
        <x:v>CON-068</x:v>
      </x:c>
      <x:c r="E98" s="35" t="str">
        <x:v>Chirayu Amin — Chairman &amp; CEO.</x:v>
      </x:c>
      <x:c r="F98" s="38" t="n">
        <x:v>46295</x:v>
      </x:c>
      <x:c r="G98" s="35" t="str">
        <x:v>Verified official source / high</x:v>
      </x:c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 t="str">
        <x:v>https://alembicpharmaceuticals.com/shareholder-information</x:v>
      </x:c>
      <x:c r="B99" s="35" t="str">
        <x:v>Official company leadership page</x:v>
      </x:c>
      <x:c r="C99" s="35" t="str">
        <x:v>ACC-007</x:v>
      </x:c>
      <x:c r="D99" s="35" t="str">
        <x:v>CON-069</x:v>
      </x:c>
      <x:c r="E99" s="35" t="str">
        <x:v>Pranav Amin — Managing Director.</x:v>
      </x:c>
      <x:c r="F99" s="38" t="n">
        <x:v>46295</x:v>
      </x:c>
      <x:c r="G99" s="35" t="str">
        <x:v>Verified official source / high</x:v>
      </x:c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 t="str">
        <x:v>https://alembicpharmaceuticals.com/shareholder-information</x:v>
      </x:c>
      <x:c r="B100" s="35" t="str">
        <x:v>Official company leadership page</x:v>
      </x:c>
      <x:c r="C100" s="35" t="str">
        <x:v>ACC-007</x:v>
      </x:c>
      <x:c r="D100" s="35" t="str">
        <x:v>CON-070</x:v>
      </x:c>
      <x:c r="E100" s="35" t="str">
        <x:v>Shaunak Amin — Managing Director.</x:v>
      </x:c>
      <x:c r="F100" s="38" t="n">
        <x:v>46295</x:v>
      </x:c>
      <x:c r="G100" s="35" t="str">
        <x:v>Verified official source / high</x:v>
      </x:c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  <x:row r="101">
      <x:c r="A101" s="35" t="str">
        <x:v>https://alembicpharmaceuticals.com/shareholder-information</x:v>
      </x:c>
      <x:c r="B101" s="35" t="str">
        <x:v>Official company leadership page</x:v>
      </x:c>
      <x:c r="C101" s="35" t="str">
        <x:v>ACC-007</x:v>
      </x:c>
      <x:c r="D101" s="35" t="str">
        <x:v>CON-071</x:v>
      </x:c>
      <x:c r="E101" s="35" t="str">
        <x:v>R K Baheti — Director - Finance &amp; CFO.</x:v>
      </x:c>
      <x:c r="F101" s="38" t="n">
        <x:v>46295</x:v>
      </x:c>
      <x:c r="G101" s="35" t="str">
        <x:v>Verified official source / high</x:v>
      </x:c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  <x:c r="W101" s="35"/>
      <x:c r="X101" s="35"/>
      <x:c r="Y101" s="35"/>
      <x:c r="Z101" s="35"/>
    </x:row>
    <x:row r="102">
      <x:c r="A102" s="35" t="str">
        <x:v>https://alembicpharmaceuticals.com/shareholder-information</x:v>
      </x:c>
      <x:c r="B102" s="35" t="str">
        <x:v>Official company leadership page</x:v>
      </x:c>
      <x:c r="C102" s="35" t="str">
        <x:v>ACC-007</x:v>
      </x:c>
      <x:c r="D102" s="35" t="str">
        <x:v>CON-072</x:v>
      </x:c>
      <x:c r="E102" s="35" t="str">
        <x:v>Manisha Saraf — Company Secretary.</x:v>
      </x:c>
      <x:c r="F102" s="38" t="n">
        <x:v>46295</x:v>
      </x:c>
      <x:c r="G102" s="35" t="str">
        <x:v>Verified official source / high</x:v>
      </x:c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  <x:c r="W102" s="35"/>
      <x:c r="X102" s="35"/>
      <x:c r="Y102" s="35"/>
      <x:c r="Z102" s="35"/>
    </x:row>
    <x:row r="103">
      <x:c r="A103" s="35" t="str">
        <x:v>https://alembicpharmaceuticals.com/shareholder-information</x:v>
      </x:c>
      <x:c r="B103" s="35" t="str">
        <x:v>Official company leadership page</x:v>
      </x:c>
      <x:c r="C103" s="35" t="str">
        <x:v>ACC-007</x:v>
      </x:c>
      <x:c r="D103" s="35" t="str">
        <x:v>CON-073</x:v>
      </x:c>
      <x:c r="E103" s="35" t="str">
        <x:v>Ajay Kumar Desai — Senior Vice President - Finance.</x:v>
      </x:c>
      <x:c r="F103" s="38" t="n">
        <x:v>46295</x:v>
      </x:c>
      <x:c r="G103" s="35" t="str">
        <x:v>Verified official source / high</x:v>
      </x:c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  <x:c r="W103" s="35"/>
      <x:c r="X103" s="35"/>
      <x:c r="Y103" s="35"/>
      <x:c r="Z103" s="35"/>
    </x:row>
    <x:row r="104">
      <x:c r="A104" s="35" t="str">
        <x:v>https://india-pharma.gsk.com/en-in/company/board-of-directors-and-india-leadership-team/</x:v>
      </x:c>
      <x:c r="B104" s="35" t="str">
        <x:v>Official company leadership page</x:v>
      </x:c>
      <x:c r="C104" s="35" t="str">
        <x:v>ACC-008</x:v>
      </x:c>
      <x:c r="D104" s="35" t="str">
        <x:v>CON-074</x:v>
      </x:c>
      <x:c r="E104" s="35" t="str">
        <x:v>Bhushan Akshikar — Managing Director.</x:v>
      </x:c>
      <x:c r="F104" s="38" t="n">
        <x:v>46295</x:v>
      </x:c>
      <x:c r="G104" s="35" t="str">
        <x:v>Verified official source / high</x:v>
      </x:c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  <x:c r="W104" s="35"/>
      <x:c r="X104" s="35"/>
      <x:c r="Y104" s="35"/>
      <x:c r="Z104" s="35"/>
    </x:row>
    <x:row r="105">
      <x:c r="A105" s="35" t="str">
        <x:v>https://india-pharma.gsk.com/en-in/company/board-of-directors-and-india-leadership-team/</x:v>
      </x:c>
      <x:c r="B105" s="35" t="str">
        <x:v>Official company leadership page</x:v>
      </x:c>
      <x:c r="C105" s="35" t="str">
        <x:v>ACC-008</x:v>
      </x:c>
      <x:c r="D105" s="35" t="str">
        <x:v>CON-075</x:v>
      </x:c>
      <x:c r="E105" s="35" t="str">
        <x:v>Ronojit Biswas — Chief Financial Officer.</x:v>
      </x:c>
      <x:c r="F105" s="38" t="n">
        <x:v>46295</x:v>
      </x:c>
      <x:c r="G105" s="35" t="str">
        <x:v>Verified official source / high</x:v>
      </x:c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  <x:c r="W105" s="35"/>
      <x:c r="X105" s="35"/>
      <x:c r="Y105" s="35"/>
      <x:c r="Z105" s="35"/>
    </x:row>
    <x:row r="106">
      <x:c r="A106" s="35" t="str">
        <x:v>https://india-pharma.gsk.com/en-in/company/board-of-directors-and-india-leadership-team/</x:v>
      </x:c>
      <x:c r="B106" s="35" t="str">
        <x:v>Official company leadership page</x:v>
      </x:c>
      <x:c r="C106" s="35" t="str">
        <x:v>ACC-008</x:v>
      </x:c>
      <x:c r="D106" s="35" t="str">
        <x:v>CON-076</x:v>
      </x:c>
      <x:c r="E106" s="35" t="str">
        <x:v>Harsh Trehan — Executive Vice President, Human Resources.</x:v>
      </x:c>
      <x:c r="F106" s="38" t="n">
        <x:v>46295</x:v>
      </x:c>
      <x:c r="G106" s="35" t="str">
        <x:v>Verified official source / high</x:v>
      </x:c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  <x:c r="W106" s="35"/>
      <x:c r="X106" s="35"/>
      <x:c r="Y106" s="35"/>
      <x:c r="Z106" s="35"/>
    </x:row>
    <x:row r="107">
      <x:c r="A107" s="35" t="str">
        <x:v>https://india-pharma.gsk.com/en-in/company/board-of-directors-and-india-leadership-team/</x:v>
      </x:c>
      <x:c r="B107" s="35" t="str">
        <x:v>Official company leadership page</x:v>
      </x:c>
      <x:c r="C107" s="35" t="str">
        <x:v>ACC-008</x:v>
      </x:c>
      <x:c r="D107" s="35" t="str">
        <x:v>CON-077</x:v>
      </x:c>
      <x:c r="E107" s="35" t="str">
        <x:v>Sharmishta Mitra — Vice President, Paediatric Vaccines.</x:v>
      </x:c>
      <x:c r="F107" s="38" t="n">
        <x:v>46295</x:v>
      </x:c>
      <x:c r="G107" s="35" t="str">
        <x:v>Verified official source / high</x:v>
      </x:c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  <x:c r="W107" s="35"/>
      <x:c r="X107" s="35"/>
      <x:c r="Y107" s="35"/>
      <x:c r="Z107" s="35"/>
    </x:row>
    <x:row r="108">
      <x:c r="A108" s="35" t="str">
        <x:v>https://india-pharma.gsk.com/en-in/company/board-of-directors-and-india-leadership-team/</x:v>
      </x:c>
      <x:c r="B108" s="35" t="str">
        <x:v>Official company leadership page</x:v>
      </x:c>
      <x:c r="C108" s="35" t="str">
        <x:v>ACC-008</x:v>
      </x:c>
      <x:c r="D108" s="35" t="str">
        <x:v>CON-078</x:v>
      </x:c>
      <x:c r="E108" s="35" t="str">
        <x:v>Carson Dalton — Executive Vice President, Communications and Government Affairs.</x:v>
      </x:c>
      <x:c r="F108" s="38" t="n">
        <x:v>46295</x:v>
      </x:c>
      <x:c r="G108" s="35" t="str">
        <x:v>Verified official source / high</x:v>
      </x:c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  <x:c r="W108" s="35"/>
      <x:c r="X108" s="35"/>
      <x:c r="Y108" s="35"/>
      <x:c r="Z108" s="35"/>
    </x:row>
    <x:row r="109">
      <x:c r="A109" s="35" t="str">
        <x:v>https://india-pharma.gsk.com/en-in/company/board-of-directors-and-india-leadership-team/</x:v>
      </x:c>
      <x:c r="B109" s="35" t="str">
        <x:v>Official company leadership page</x:v>
      </x:c>
      <x:c r="C109" s="35" t="str">
        <x:v>ACC-008</x:v>
      </x:c>
      <x:c r="D109" s="35" t="str">
        <x:v>CON-079</x:v>
      </x:c>
      <x:c r="E109" s="35" t="str">
        <x:v>Sukanya Choudhury — Executive Vice President, Regulatory Affairs.</x:v>
      </x:c>
      <x:c r="F109" s="38" t="n">
        <x:v>46295</x:v>
      </x:c>
      <x:c r="G109" s="35" t="str">
        <x:v>Verified official source / high</x:v>
      </x:c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  <x:c r="W109" s="35"/>
      <x:c r="X109" s="35"/>
      <x:c r="Y109" s="35"/>
      <x:c r="Z109" s="35"/>
    </x:row>
    <x:row r="110">
      <x:c r="A110" s="35" t="str">
        <x:v>https://india-pharma.gsk.com/en-in/company/board-of-directors-and-india-leadership-team/</x:v>
      </x:c>
      <x:c r="B110" s="35" t="str">
        <x:v>Official company leadership page</x:v>
      </x:c>
      <x:c r="C110" s="35" t="str">
        <x:v>ACC-008</x:v>
      </x:c>
      <x:c r="D110" s="35" t="str">
        <x:v>CON-080</x:v>
      </x:c>
      <x:c r="E110" s="35" t="str">
        <x:v>Shalini Menon — Executive Vice President, Medical Affairs.</x:v>
      </x:c>
      <x:c r="F110" s="38" t="n">
        <x:v>46295</x:v>
      </x:c>
      <x:c r="G110" s="35" t="str">
        <x:v>Verified official source / high</x:v>
      </x:c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  <x:c r="W110" s="35"/>
      <x:c r="X110" s="35"/>
      <x:c r="Y110" s="35"/>
      <x:c r="Z110" s="35"/>
    </x:row>
    <x:row r="111">
      <x:c r="A111" s="35" t="str">
        <x:v>https://india-pharma.gsk.com/en-in/company/board-of-directors-and-india-leadership-team/</x:v>
      </x:c>
      <x:c r="B111" s="35" t="str">
        <x:v>Official company leadership page</x:v>
      </x:c>
      <x:c r="C111" s="35" t="str">
        <x:v>ACC-008</x:v>
      </x:c>
      <x:c r="D111" s="35" t="str">
        <x:v>CON-081</x:v>
      </x:c>
      <x:c r="E111" s="35" t="str">
        <x:v>Amit Pandey — Executive Vice President, Legal.</x:v>
      </x:c>
      <x:c r="F111" s="38" t="n">
        <x:v>46295</x:v>
      </x:c>
      <x:c r="G111" s="35" t="str">
        <x:v>Verified official source / high</x:v>
      </x:c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  <x:c r="W111" s="35"/>
      <x:c r="X111" s="35"/>
      <x:c r="Y111" s="35"/>
      <x:c r="Z111" s="35"/>
    </x:row>
    <x:row r="112">
      <x:c r="A112" s="35" t="str">
        <x:v>https://india-pharma.gsk.com/en-in/company/board-of-directors-and-india-leadership-team/</x:v>
      </x:c>
      <x:c r="B112" s="35" t="str">
        <x:v>Official company leadership page</x:v>
      </x:c>
      <x:c r="C112" s="35" t="str">
        <x:v>ACC-008</x:v>
      </x:c>
      <x:c r="D112" s="35" t="str">
        <x:v>CON-082</x:v>
      </x:c>
      <x:c r="E112" s="35" t="str">
        <x:v>Omkar Parnandiwar — Vice President, Adult Vaccines.</x:v>
      </x:c>
      <x:c r="F112" s="38" t="n">
        <x:v>46295</x:v>
      </x:c>
      <x:c r="G112" s="35" t="str">
        <x:v>Verified official source / high</x:v>
      </x:c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  <x:c r="W112" s="35"/>
      <x:c r="X112" s="35"/>
      <x:c r="Y112" s="35"/>
      <x:c r="Z112" s="35"/>
    </x:row>
    <x:row r="113">
      <x:c r="A113" s="35" t="str">
        <x:v>https://india-pharma.gsk.com/en-in/company/board-of-directors-and-india-leadership-team/</x:v>
      </x:c>
      <x:c r="B113" s="35" t="str">
        <x:v>Official company leadership page</x:v>
      </x:c>
      <x:c r="C113" s="35" t="str">
        <x:v>ACC-008</x:v>
      </x:c>
      <x:c r="D113" s="35" t="str">
        <x:v>CON-083</x:v>
      </x:c>
      <x:c r="E113" s="35" t="str">
        <x:v>Aparajita Rajput — Vice President, Technology.</x:v>
      </x:c>
      <x:c r="F113" s="38" t="n">
        <x:v>46295</x:v>
      </x:c>
      <x:c r="G113" s="35" t="str">
        <x:v>Verified official source / high</x:v>
      </x:c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  <x:c r="W113" s="35"/>
      <x:c r="X113" s="35"/>
      <x:c r="Y113" s="35"/>
      <x:c r="Z113" s="35"/>
    </x:row>
    <x:row r="114">
      <x:c r="A114" s="35" t="str">
        <x:v>https://india-pharma.gsk.com/en-in/company/board-of-directors-and-india-leadership-team/</x:v>
      </x:c>
      <x:c r="B114" s="35" t="str">
        <x:v>Official company leadership page</x:v>
      </x:c>
      <x:c r="C114" s="35" t="str">
        <x:v>ACC-008</x:v>
      </x:c>
      <x:c r="D114" s="35" t="str">
        <x:v>CON-084</x:v>
      </x:c>
      <x:c r="E114" s="35" t="str">
        <x:v>Vibhuti Gupta — Vice President, Commercial Operations and Strategy.</x:v>
      </x:c>
      <x:c r="F114" s="38" t="n">
        <x:v>46295</x:v>
      </x:c>
      <x:c r="G114" s="35" t="str">
        <x:v>Verified official source / high</x:v>
      </x:c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  <x:c r="W114" s="35"/>
      <x:c r="X114" s="35"/>
      <x:c r="Y114" s="35"/>
      <x:c r="Z114" s="35"/>
    </x:row>
    <x:row r="115">
      <x:c r="A115" s="35" t="str">
        <x:v>https://india-pharma.gsk.com/en-in/company/board-of-directors-and-india-leadership-team/</x:v>
      </x:c>
      <x:c r="B115" s="35" t="str">
        <x:v>Official company leadership page</x:v>
      </x:c>
      <x:c r="C115" s="35" t="str">
        <x:v>ACC-008</x:v>
      </x:c>
      <x:c r="D115" s="35" t="str">
        <x:v>CON-085</x:v>
      </x:c>
      <x:c r="E115" s="35" t="str">
        <x:v>Rishikesh S Jaiwant — Executive Vice President, Supply Chain Operations.</x:v>
      </x:c>
      <x:c r="F115" s="38" t="n">
        <x:v>46295</x:v>
      </x:c>
      <x:c r="G115" s="35" t="str">
        <x:v>Verified official source / high</x:v>
      </x:c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  <x:c r="W115" s="35"/>
      <x:c r="X115" s="35"/>
      <x:c r="Y115" s="35"/>
      <x:c r="Z115" s="35"/>
    </x:row>
    <x:row r="116">
      <x:c r="A116" s="35" t="str">
        <x:v>https://india-pharma.gsk.com/en-in/company/board-of-directors-and-india-leadership-team/</x:v>
      </x:c>
      <x:c r="B116" s="35" t="str">
        <x:v>Official company leadership page</x:v>
      </x:c>
      <x:c r="C116" s="35" t="str">
        <x:v>ACC-008</x:v>
      </x:c>
      <x:c r="D116" s="35" t="str">
        <x:v>CON-086</x:v>
      </x:c>
      <x:c r="E116" s="35" t="str">
        <x:v>Vishwanath Swarup — Executive Vice President, General Medicines.</x:v>
      </x:c>
      <x:c r="F116" s="38" t="n">
        <x:v>46295</x:v>
      </x:c>
      <x:c r="G116" s="35" t="str">
        <x:v>Verified official source / high</x:v>
      </x:c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  <x:c r="W116" s="35"/>
      <x:c r="X116" s="35"/>
      <x:c r="Y116" s="35"/>
      <x:c r="Z116" s="35"/>
    </x:row>
    <x:row r="117">
      <x:c r="A117" s="35" t="str">
        <x:v>https://india-pharma.gsk.com/en-in/company/board-of-directors-and-india-leadership-team/</x:v>
      </x:c>
      <x:c r="B117" s="35" t="str">
        <x:v>Official company leadership page</x:v>
      </x:c>
      <x:c r="C117" s="35" t="str">
        <x:v>ACC-008</x:v>
      </x:c>
      <x:c r="D117" s="35" t="str">
        <x:v>CON-087</x:v>
      </x:c>
      <x:c r="E117" s="35" t="str">
        <x:v>Vinay Subramanian — Vice President, Oncology &amp; Enterprise Management &amp; Access.</x:v>
      </x:c>
      <x:c r="F117" s="38" t="n">
        <x:v>46295</x:v>
      </x:c>
      <x:c r="G117" s="35" t="str">
        <x:v>Verified official source / high</x:v>
      </x:c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  <x:c r="W117" s="35"/>
      <x:c r="X117" s="35"/>
      <x:c r="Y117" s="35"/>
      <x:c r="Z117" s="35"/>
    </x:row>
    <x:row r="118">
      <x:c r="A118" s="35" t="str">
        <x:v>https://www.zyduslife.com/investor/admin/uploads/14/2/2024-2025.pdf</x:v>
      </x:c>
      <x:c r="B118" s="35" t="str">
        <x:v>Official company leadership page</x:v>
      </x:c>
      <x:c r="C118" s="35" t="str">
        <x:v>ACC-009</x:v>
      </x:c>
      <x:c r="D118" s="35" t="str">
        <x:v>CON-088</x:v>
      </x:c>
      <x:c r="E118" s="35" t="str">
        <x:v>Pankaj Patel — Chairman.</x:v>
      </x:c>
      <x:c r="F118" s="38" t="n">
        <x:v>46295</x:v>
      </x:c>
      <x:c r="G118" s="35" t="str">
        <x:v>Unverified; recheck official company source</x:v>
      </x:c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  <x:c r="W118" s="35"/>
      <x:c r="X118" s="35"/>
      <x:c r="Y118" s="35"/>
      <x:c r="Z118" s="35"/>
    </x:row>
    <x:row r="119">
      <x:c r="A119" s="35" t="str">
        <x:v>https://www.zyduslife.com/investor/admin/uploads/14/2/2024-2025.pdf</x:v>
      </x:c>
      <x:c r="B119" s="35" t="str">
        <x:v>Official company leadership page</x:v>
      </x:c>
      <x:c r="C119" s="35" t="str">
        <x:v>ACC-009</x:v>
      </x:c>
      <x:c r="D119" s="35" t="str">
        <x:v>CON-089</x:v>
      </x:c>
      <x:c r="E119" s="35" t="str">
        <x:v>Sharvil Patel — Managing Director.</x:v>
      </x:c>
      <x:c r="F119" s="38" t="n">
        <x:v>46295</x:v>
      </x:c>
      <x:c r="G119" s="35" t="str">
        <x:v>Unverified; recheck official company source</x:v>
      </x:c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  <x:c r="W119" s="35"/>
      <x:c r="X119" s="35"/>
      <x:c r="Y119" s="35"/>
      <x:c r="Z119" s="35"/>
    </x:row>
    <x:row r="120">
      <x:c r="A120" s="35" t="str">
        <x:v>https://www.zyduslife.com/investor/admin/uploads/14/2/2024-2025.pdf</x:v>
      </x:c>
      <x:c r="B120" s="35" t="str">
        <x:v>Official company leadership page</x:v>
      </x:c>
      <x:c r="C120" s="35" t="str">
        <x:v>ACC-009</x:v>
      </x:c>
      <x:c r="D120" s="35" t="str">
        <x:v>CON-090</x:v>
      </x:c>
      <x:c r="E120" s="35" t="str">
        <x:v>Suresh Pareek — President.</x:v>
      </x:c>
      <x:c r="F120" s="38" t="n">
        <x:v>46295</x:v>
      </x:c>
      <x:c r="G120" s="35" t="str">
        <x:v>Unverified; recheck official company source</x:v>
      </x:c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  <x:c r="W120" s="35"/>
      <x:c r="X120" s="35"/>
      <x:c r="Y120" s="35"/>
      <x:c r="Z120" s="35"/>
    </x:row>
    <x:row r="121">
      <x:c r="A121" s="35" t="str">
        <x:v>https://www.zyduslife.com/investor/admin/uploads/14/2/2024-2025.pdf</x:v>
      </x:c>
      <x:c r="B121" s="35" t="str">
        <x:v>Official company leadership page</x:v>
      </x:c>
      <x:c r="C121" s="35" t="str">
        <x:v>ACC-009</x:v>
      </x:c>
      <x:c r="D121" s="35" t="str">
        <x:v>CON-091</x:v>
      </x:c>
      <x:c r="E121" s="35" t="str">
        <x:v>Sushil Shah — Chief Financial Officer.</x:v>
      </x:c>
      <x:c r="F121" s="38" t="n">
        <x:v>46295</x:v>
      </x:c>
      <x:c r="G121" s="35" t="str">
        <x:v>Unverified; recheck official company source</x:v>
      </x:c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  <x:c r="W121" s="35"/>
      <x:c r="X121" s="35"/>
      <x:c r="Y121" s="35"/>
      <x:c r="Z121" s="35"/>
    </x:row>
    <x:row r="122">
      <x:c r="A122" s="35" t="str">
        <x:v>https://www.zyduslife.com/investor/admin/uploads/14/2/2024-2025.pdf</x:v>
      </x:c>
      <x:c r="B122" s="35" t="str">
        <x:v>Official company leadership page</x:v>
      </x:c>
      <x:c r="C122" s="35" t="str">
        <x:v>ACC-009</x:v>
      </x:c>
      <x:c r="D122" s="35" t="str">
        <x:v>CON-092</x:v>
      </x:c>
      <x:c r="E122" s="35" t="str">
        <x:v>Vivek Jain — President.</x:v>
      </x:c>
      <x:c r="F122" s="38" t="n">
        <x:v>46295</x:v>
      </x:c>
      <x:c r="G122" s="35" t="str">
        <x:v>Unverified; recheck official company source</x:v>
      </x:c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  <x:c r="W122" s="35"/>
      <x:c r="X122" s="35"/>
      <x:c r="Y122" s="35"/>
      <x:c r="Z122" s="35"/>
    </x:row>
    <x:row r="123">
      <x:c r="A123" s="35" t="str">
        <x:v>https://www.torrentpharma.com/investors/corporate-governance/board-of-directors/</x:v>
      </x:c>
      <x:c r="B123" s="35" t="str">
        <x:v>Official company leadership page</x:v>
      </x:c>
      <x:c r="C123" s="35" t="str">
        <x:v>ACC-010</x:v>
      </x:c>
      <x:c r="D123" s="35" t="str">
        <x:v>CON-093</x:v>
      </x:c>
      <x:c r="E123" s="35" t="str">
        <x:v>Samir Mehta — Chairman.</x:v>
      </x:c>
      <x:c r="F123" s="38" t="n">
        <x:v>46295</x:v>
      </x:c>
      <x:c r="G123" s="35" t="str">
        <x:v>Unverified; recheck official company source</x:v>
      </x:c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  <x:c r="W123" s="35"/>
      <x:c r="X123" s="35"/>
      <x:c r="Y123" s="35"/>
      <x:c r="Z123" s="35"/>
    </x:row>
    <x:row r="124">
      <x:c r="A124" s="35" t="str">
        <x:v>https://www.torrentpharma.com/investors/corporate-governance/board-of-directors/</x:v>
      </x:c>
      <x:c r="B124" s="35" t="str">
        <x:v>Official company leadership page</x:v>
      </x:c>
      <x:c r="C124" s="35" t="str">
        <x:v>ACC-010</x:v>
      </x:c>
      <x:c r="D124" s="35" t="str">
        <x:v>CON-094</x:v>
      </x:c>
      <x:c r="E124" s="35" t="str">
        <x:v>Sudhir Mehta — Director.</x:v>
      </x:c>
      <x:c r="F124" s="38" t="n">
        <x:v>46295</x:v>
      </x:c>
      <x:c r="G124" s="35" t="str">
        <x:v>Unverified; recheck official company source</x:v>
      </x:c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  <x:c r="W124" s="35"/>
      <x:c r="X124" s="35"/>
      <x:c r="Y124" s="35"/>
      <x:c r="Z124" s="35"/>
    </x:row>
    <x:row r="125">
      <x:c r="A125" s="35" t="str">
        <x:v>https://www.torrentpharma.com/investors/corporate-governance/board-of-directors/</x:v>
      </x:c>
      <x:c r="B125" s="35" t="str">
        <x:v>Official company leadership page</x:v>
      </x:c>
      <x:c r="C125" s="35" t="str">
        <x:v>ACC-010</x:v>
      </x:c>
      <x:c r="D125" s="35" t="str">
        <x:v>CON-095</x:v>
      </x:c>
      <x:c r="E125" s="35" t="str">
        <x:v>Aman Mehta — Executive Director.</x:v>
      </x:c>
      <x:c r="F125" s="38" t="n">
        <x:v>46295</x:v>
      </x:c>
      <x:c r="G125" s="35" t="str">
        <x:v>Unverified; recheck official company source</x:v>
      </x:c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  <x:c r="W125" s="35"/>
      <x:c r="X125" s="35"/>
      <x:c r="Y125" s="35"/>
      <x:c r="Z125" s="35"/>
    </x:row>
    <x:row r="126">
      <x:c r="A126" s="35" t="str">
        <x:v>https://www.mankindpharma.com/about-us/board-of-directors</x:v>
      </x:c>
      <x:c r="B126" s="35" t="str">
        <x:v>Official company leadership page</x:v>
      </x:c>
      <x:c r="C126" s="35" t="str">
        <x:v>ACC-011</x:v>
      </x:c>
      <x:c r="D126" s="35" t="str">
        <x:v>CON-096</x:v>
      </x:c>
      <x:c r="E126" s="35" t="str">
        <x:v>R C Juneja — Chairman.</x:v>
      </x:c>
      <x:c r="F126" s="38" t="n">
        <x:v>46295</x:v>
      </x:c>
      <x:c r="G126" s="35" t="str">
        <x:v>Unverified; recheck official company source</x:v>
      </x:c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  <x:c r="W126" s="35"/>
      <x:c r="X126" s="35"/>
      <x:c r="Y126" s="35"/>
      <x:c r="Z126" s="35"/>
    </x:row>
    <x:row r="127">
      <x:c r="A127" s="35" t="str">
        <x:v>https://www.mankindpharma.com/about-us/board-of-directors</x:v>
      </x:c>
      <x:c r="B127" s="35" t="str">
        <x:v>Official company leadership page</x:v>
      </x:c>
      <x:c r="C127" s="35" t="str">
        <x:v>ACC-011</x:v>
      </x:c>
      <x:c r="D127" s="35" t="str">
        <x:v>CON-097</x:v>
      </x:c>
      <x:c r="E127" s="35" t="str">
        <x:v>Rajeev Juneja — Managing Director.</x:v>
      </x:c>
      <x:c r="F127" s="38" t="n">
        <x:v>46295</x:v>
      </x:c>
      <x:c r="G127" s="35" t="str">
        <x:v>Unverified; recheck official company source</x:v>
      </x:c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  <x:c r="W127" s="35"/>
      <x:c r="X127" s="35"/>
      <x:c r="Y127" s="35"/>
      <x:c r="Z127" s="35"/>
    </x:row>
    <x:row r="128">
      <x:c r="A128" s="35" t="str">
        <x:v>https://www.mankindpharma.com/about-us/board-of-directors</x:v>
      </x:c>
      <x:c r="B128" s="35" t="str">
        <x:v>Official company leadership page</x:v>
      </x:c>
      <x:c r="C128" s="35" t="str">
        <x:v>ACC-011</x:v>
      </x:c>
      <x:c r="D128" s="35" t="str">
        <x:v>CON-098</x:v>
      </x:c>
      <x:c r="E128" s="35" t="str">
        <x:v>Sheetal Arora — Chief Executive Officer.</x:v>
      </x:c>
      <x:c r="F128" s="38" t="n">
        <x:v>46295</x:v>
      </x:c>
      <x:c r="G128" s="35" t="str">
        <x:v>Unverified; recheck official company source</x:v>
      </x:c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  <x:c r="W128" s="35"/>
      <x:c r="X128" s="35"/>
      <x:c r="Y128" s="35"/>
      <x:c r="Z128" s="35"/>
    </x:row>
    <x:row r="129">
      <x:c r="A129" s="35" t="str">
        <x:v>https://www.emcure.com/about-us/leadership/</x:v>
      </x:c>
      <x:c r="B129" s="35" t="str">
        <x:v>Official company leadership page</x:v>
      </x:c>
      <x:c r="C129" s="35" t="str">
        <x:v>ACC-012</x:v>
      </x:c>
      <x:c r="D129" s="35" t="str">
        <x:v>CON-099</x:v>
      </x:c>
      <x:c r="E129" s="35" t="str">
        <x:v>Satish Mehta — Founder and Chief Executive Officer.</x:v>
      </x:c>
      <x:c r="F129" s="38" t="n">
        <x:v>46295</x:v>
      </x:c>
      <x:c r="G129" s="35" t="str">
        <x:v>Unverified; recheck official company source</x:v>
      </x:c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  <x:c r="W129" s="35"/>
      <x:c r="X129" s="35"/>
      <x:c r="Y129" s="35"/>
      <x:c r="Z129" s="35"/>
    </x:row>
    <x:row r="130">
      <x:c r="A130" s="35" t="str">
        <x:v>https://www.emcure.com/about-us/leadership/</x:v>
      </x:c>
      <x:c r="B130" s="35" t="str">
        <x:v>Official company leadership page</x:v>
      </x:c>
      <x:c r="C130" s="35" t="str">
        <x:v>ACC-012</x:v>
      </x:c>
      <x:c r="D130" s="35" t="str">
        <x:v>CON-100</x:v>
      </x:c>
      <x:c r="E130" s="35" t="str">
        <x:v>Namita Thapar — Executive Director.</x:v>
      </x:c>
      <x:c r="F130" s="38" t="n">
        <x:v>46295</x:v>
      </x:c>
      <x:c r="G130" s="35" t="str">
        <x:v>Unverified; recheck official company source</x:v>
      </x:c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  <x:c r="W130" s="35"/>
      <x:c r="X130" s="35"/>
      <x:c r="Y130" s="35"/>
      <x:c r="Z130" s="35"/>
    </x:row>
    <x:row r="131">
      <x:c r="A131" s="35"/>
      <x:c r="B131" s="35"/>
      <x:c r="C131" s="35"/>
      <x:c r="D131" s="35"/>
      <x:c r="E131" s="35"/>
      <x:c r="F131" s="38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  <x:c r="W131" s="35"/>
      <x:c r="X131" s="35"/>
      <x:c r="Y131" s="35"/>
      <x:c r="Z131" s="35"/>
    </x:row>
    <x:row r="132">
      <x:c r="A132" s="35"/>
      <x:c r="B132" s="35"/>
      <x:c r="C132" s="35"/>
      <x:c r="D132" s="35"/>
      <x:c r="E132" s="35"/>
      <x:c r="F132" s="38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  <x:c r="W132" s="35"/>
      <x:c r="X132" s="35"/>
      <x:c r="Y132" s="35"/>
      <x:c r="Z132" s="35"/>
    </x:row>
  </x:sheetData>
  <x:conditionalFormatting sqref="F6:F132">
    <x:cfRule type="cellIs" dxfId="4" priority="1" operator="lessThan">
      <x:formula>TODAY()-90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badda3e97a4e35"/>
  </x:tableParts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>
      <x:c r="A1" s="1" t="str">
        <x:v>How to Use</x:v>
      </x:c>
    </x:row>
    <x:row r="2">
      <x:c r="A2" s="2" t="str">
        <x:v>Workflow, governance and data-quality rules.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5">
      <x:c r="A5" s="13" t="str">
        <x:v>Workflow step</x:v>
      </x:c>
      <x:c r="B5" s="13" t="str">
        <x:v>Guidance</x:v>
      </x:c>
    </x:row>
    <x:row r="6">
      <x:c r="A6" s="26" t="str">
        <x:v>1. Add or update an account</x:v>
      </x:c>
      <x:c r="B6" s="25" t="str">
        <x:v>Create a unique Account ID for an India-relevant company. Select sector, tier, India owner, and relationship status from the dropdowns. Add a current official source URL and research date.</x:v>
      </x:c>
    </x:row>
    <x:row r="7">
      <x:c r="A7" s="26" t="str">
        <x:v>2. Add a contact</x:v>
      </x:c>
      <x:c r="B7" s="25" t="str">
        <x:v>Use public professional information only. Add a personal profile URL only if you verified it. Never infer email formats, phone numbers, job titles, or LinkedIn URLs.</x:v>
      </x:c>
    </x:row>
    <x:row r="8">
      <x:c r="A8" s="26" t="str">
        <x:v>3. Cite the source</x:v>
      </x:c>
      <x:c r="B8" s="25" t="str">
        <x:v>Add a Research Sources row for every research-backed account/contact update. Mark unverified information explicitly.</x:v>
      </x:c>
    </x:row>
    <x:row r="9">
      <x:c r="A9" s="26" t="str">
        <x:v>4. Qualify the opportunity</x:v>
      </x:c>
      <x:c r="B9" s="25" t="str">
        <x:v>Create an opportunity only after an India-specific use case is identified. INR value bands and close dates are planning inputs, not committed revenue.</x:v>
      </x:c>
    </x:row>
    <x:row r="10">
      <x:c r="A10" s="26" t="str">
        <x:v>5. Log outreach</x:v>
      </x:c>
      <x:c r="B10" s="25" t="str">
        <x:v>Record approved outreach, next action, and deadline in Outreach &amp; Activities. The Automated flag detects overdue items.</x:v>
      </x:c>
    </x:row>
    <x:row r="11">
      <x:c r="A11" s="26" t="str">
        <x:v>6. Weekly hygiene</x:v>
      </x:c>
      <x:c r="B11" s="25" t="str">
        <x:v>Review overdue flags, sources older than 90 days, account coverage, unverified roles, and India owner assignment. Re-verify changing titles before outreach.</x:v>
      </x:c>
    </x:row>
    <x:row r="12">
      <x:c r="A12" s="26" t="str">
        <x:v>Data-quality rule</x:v>
      </x:c>
      <x:c r="B12" s="25" t="str">
        <x:v>“Verified - official source” means title/name was seen on the linked official company page on the stated date. It does not confirm a direct relationship or outreach permission.</x:v>
      </x:c>
    </x:row>
    <x:row r="13">
      <x:c r="A13" s="26" t="str">
        <x:v>Privacy / compliance</x:v>
      </x:c>
      <x:c r="B13" s="25" t="str">
        <x:v>This workbook intentionally omits inferred or scraped personal contact details. Use approved company channels and your organization’s privacy/compliance policies before outreach.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8" hidden="0" customWidth="1"/>
    <x:col min="5" max="5" width="24" hidden="0" customWidth="1"/>
    <x:col min="6" max="6" width="16" hidden="0" customWidth="1"/>
    <x:col min="7" max="7" width="18" hidden="0" customWidth="1"/>
    <x:col min="8" max="8" width="27" hidden="0" customWidth="1"/>
    <x:col min="9" max="9" width="20" hidden="0" customWidth="1"/>
  </x:cols>
  <x:sheetData>
    <x:row r="1">
      <x:c r="A1" s="1" t="str">
        <x:v>Controlled Lists</x:v>
      </x:c>
    </x:row>
    <x:row r="2">
      <x:c r="A2" s="2" t="str">
        <x:v>Update list values only with CRM governance approval.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5">
      <x:c r="A5" s="9" t="str">
        <x:v>Sector</x:v>
      </x:c>
      <x:c r="B5" s="9" t="str">
        <x:v>Tier</x:v>
      </x:c>
      <x:c r="C5" s="9" t="str">
        <x:v>Stage</x:v>
      </x:c>
      <x:c r="D5" s="9" t="str">
        <x:v>Seniority</x:v>
      </x:c>
      <x:c r="E5" s="9" t="str">
        <x:v>Owner</x:v>
      </x:c>
      <x:c r="F5" s="9" t="str">
        <x:v>Activity Status</x:v>
      </x:c>
      <x:c r="G5" s="9" t="str">
        <x:v>Relationship Status</x:v>
      </x:c>
      <x:c r="H5" s="9" t="str">
        <x:v>Function</x:v>
      </x:c>
      <x:c r="I5" s="9" t="str">
        <x:v>Influence</x:v>
      </x:c>
    </x:row>
    <x:row r="6">
      <x:c r="A6" t="str">
        <x:v>Pharma</x:v>
      </x:c>
      <x:c r="B6" t="str">
        <x:v>Tier 1</x:v>
      </x:c>
      <x:c r="C6" t="str">
        <x:v>Research</x:v>
      </x:c>
      <x:c r="D6" t="str">
        <x:v>C-suite</x:v>
      </x:c>
      <x:c r="E6" t="str">
        <x:v>Unassigned</x:v>
      </x:c>
      <x:c r="F6" t="str">
        <x:v>Planned</x:v>
      </x:c>
      <x:c r="G6" t="str">
        <x:v>Prospect</x:v>
      </x:c>
      <x:c r="H6" t="str">
        <x:v>Executive Leadership</x:v>
      </x:c>
      <x:c r="I6" t="str">
        <x:v>Economic Buyer</x:v>
      </x:c>
    </x:row>
    <x:row r="7">
      <x:c r="A7" t="str">
        <x:v>Biotech</x:v>
      </x:c>
      <x:c r="B7" t="str">
        <x:v>Tier 2</x:v>
      </x:c>
      <x:c r="C7" t="str">
        <x:v>Qualified</x:v>
      </x:c>
      <x:c r="D7" t="str">
        <x:v>EVP/SVP</x:v>
      </x:c>
      <x:c r="E7" t="str">
        <x:v>Life Sciences BD - Global</x:v>
      </x:c>
      <x:c r="F7" t="str">
        <x:v>Completed</x:v>
      </x:c>
      <x:c r="G7" t="str">
        <x:v>Warm</x:v>
      </x:c>
      <x:c r="H7" t="str">
        <x:v>R&amp;D / Clinical Development</x:v>
      </x:c>
      <x:c r="I7" t="str">
        <x:v>Champion</x:v>
      </x:c>
    </x:row>
    <x:row r="8">
      <x:c r="A8" t="str">
        <x:v>Diagnostics</x:v>
      </x:c>
      <x:c r="B8" t="str">
        <x:v>Tier 3</x:v>
      </x:c>
      <x:c r="C8" t="str">
        <x:v>Discovery</x:v>
      </x:c>
      <x:c r="D8" t="str">
        <x:v>VP</x:v>
      </x:c>
      <x:c r="E8" t="str">
        <x:v>Life Sciences BD - India</x:v>
      </x:c>
      <x:c r="F8" t="str">
        <x:v>Follow-up Due</x:v>
      </x:c>
      <x:c r="G8" t="str">
        <x:v>Active Dialogue</x:v>
      </x:c>
      <x:c r="H8" t="str">
        <x:v>Medical Affairs</x:v>
      </x:c>
      <x:c r="I8" t="str">
        <x:v>Technical Evaluator</x:v>
      </x:c>
    </x:row>
    <x:row r="9">
      <x:c r="A9" t="str">
        <x:v>Imaging &amp; MedTech</x:v>
      </x:c>
      <x:c r="C9" t="str">
        <x:v>Proposal</x:v>
      </x:c>
      <x:c r="D9" t="str">
        <x:v>Director</x:v>
      </x:c>
      <x:c r="E9" t="str">
        <x:v>Strategic Partnerships</x:v>
      </x:c>
      <x:c r="F9" t="str">
        <x:v>Overdue</x:v>
      </x:c>
      <x:c r="G9" t="str">
        <x:v>Partner</x:v>
      </x:c>
      <x:c r="H9" t="str">
        <x:v>Digital / Data / AI</x:v>
      </x:c>
      <x:c r="I9" t="str">
        <x:v>End User</x:v>
      </x:c>
    </x:row>
    <x:row r="10">
      <x:c r="A10" t="str">
        <x:v>Digital Health</x:v>
      </x:c>
      <x:c r="C10" t="str">
        <x:v>Negotiation</x:v>
      </x:c>
      <x:c r="D10" t="str">
        <x:v>Global Head</x:v>
      </x:c>
      <x:c r="E10" t="str">
        <x:v>Clinical Solutions</x:v>
      </x:c>
      <x:c r="F10" t="str">
        <x:v>On Hold</x:v>
      </x:c>
      <x:c r="G10" t="str">
        <x:v>Dormant</x:v>
      </x:c>
      <x:c r="H10" t="str">
        <x:v>Diagnostics / Imaging</x:v>
      </x:c>
      <x:c r="I10" t="str">
        <x:v>Blocker</x:v>
      </x:c>
    </x:row>
    <x:row r="11">
      <x:c r="A11" t="str">
        <x:v>Clinical Research</x:v>
      </x:c>
      <x:c r="C11" t="str">
        <x:v>Closed Won</x:v>
      </x:c>
      <x:c r="D11" t="str">
        <x:v>Business Unit Head</x:v>
      </x:c>
      <x:c r="H11" t="str">
        <x:v>Commercial / Market Access</x:v>
      </x:c>
    </x:row>
    <x:row r="12">
      <x:c r="C12" t="str">
        <x:v>Closed Lost</x:v>
      </x:c>
      <x:c r="H12" t="str">
        <x:v>Corporate Development</x:v>
      </x:c>
    </x:row>
    <x:row r="13">
      <x:c r="H13" t="str">
        <x:v>Operations / Supply</x:v>
      </x:c>
    </x:row>
  </x:sheetData>
  <x:pageMargins left="0.7" right="0.7" top="0.75" bottom="0.75" header="0.3" footer="0.3"/>
</x:worksheet>
</file>