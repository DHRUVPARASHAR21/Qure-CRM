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dh\OneDrive\Desktop\Qure\outputs\qure-life-sciences-crm-qure-styled\"/>
    </mc:Choice>
  </mc:AlternateContent>
  <xr:revisionPtr revIDLastSave="0" documentId="13_ncr:1_{AE42429B-3C0E-435D-A0CC-A7D6DA904CC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ashboard" sheetId="1" r:id="rId1"/>
    <sheet name="Accounts" sheetId="2" r:id="rId2"/>
    <sheet name="Contacts" sheetId="3" r:id="rId3"/>
    <sheet name="Opportunities" sheetId="4" r:id="rId4"/>
    <sheet name="Outreach &amp; Activities" sheetId="5" r:id="rId5"/>
    <sheet name="Research Sources" sheetId="6" r:id="rId6"/>
    <sheet name="How to Use" sheetId="7" r:id="rId7"/>
    <sheet name="Lis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5" l="1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B11" i="1" s="1"/>
  <c r="K7" i="5"/>
  <c r="K6" i="5"/>
  <c r="S105" i="3"/>
  <c r="R105" i="3"/>
  <c r="S104" i="3"/>
  <c r="R104" i="3"/>
  <c r="S103" i="3"/>
  <c r="R103" i="3"/>
  <c r="S102" i="3"/>
  <c r="R102" i="3"/>
  <c r="S101" i="3"/>
  <c r="R101" i="3"/>
  <c r="S100" i="3"/>
  <c r="R100" i="3"/>
  <c r="S99" i="3"/>
  <c r="R99" i="3"/>
  <c r="S98" i="3"/>
  <c r="R98" i="3"/>
  <c r="S97" i="3"/>
  <c r="R97" i="3"/>
  <c r="S96" i="3"/>
  <c r="R96" i="3"/>
  <c r="S95" i="3"/>
  <c r="R95" i="3"/>
  <c r="S94" i="3"/>
  <c r="R94" i="3"/>
  <c r="S93" i="3"/>
  <c r="R93" i="3"/>
  <c r="S92" i="3"/>
  <c r="R92" i="3"/>
  <c r="S91" i="3"/>
  <c r="R91" i="3"/>
  <c r="S90" i="3"/>
  <c r="R90" i="3"/>
  <c r="S89" i="3"/>
  <c r="R89" i="3"/>
  <c r="S88" i="3"/>
  <c r="R88" i="3"/>
  <c r="S87" i="3"/>
  <c r="R87" i="3"/>
  <c r="S86" i="3"/>
  <c r="R86" i="3"/>
  <c r="S85" i="3"/>
  <c r="R85" i="3"/>
  <c r="S84" i="3"/>
  <c r="R84" i="3"/>
  <c r="S83" i="3"/>
  <c r="R83" i="3"/>
  <c r="S82" i="3"/>
  <c r="R82" i="3"/>
  <c r="S81" i="3"/>
  <c r="R81" i="3"/>
  <c r="S80" i="3"/>
  <c r="R80" i="3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S22" i="3"/>
  <c r="R22" i="3"/>
  <c r="S21" i="3"/>
  <c r="R21" i="3"/>
  <c r="S20" i="3"/>
  <c r="R20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E20" i="1"/>
  <c r="E19" i="1"/>
  <c r="H18" i="1"/>
  <c r="E18" i="1"/>
  <c r="H17" i="1"/>
  <c r="E17" i="1"/>
  <c r="H16" i="1"/>
  <c r="E16" i="1"/>
  <c r="H15" i="1"/>
  <c r="E15" i="1"/>
  <c r="B13" i="1"/>
  <c r="B12" i="1"/>
  <c r="K11" i="1"/>
  <c r="E11" i="1"/>
  <c r="K10" i="1"/>
  <c r="E10" i="1"/>
  <c r="B10" i="1"/>
  <c r="K9" i="1"/>
  <c r="H9" i="1"/>
  <c r="E9" i="1"/>
  <c r="B9" i="1"/>
  <c r="K8" i="1"/>
  <c r="H8" i="1"/>
  <c r="E8" i="1"/>
  <c r="B8" i="1"/>
  <c r="K7" i="1"/>
  <c r="H7" i="1"/>
  <c r="E7" i="1"/>
  <c r="B7" i="1"/>
  <c r="K6" i="1"/>
  <c r="H6" i="1"/>
  <c r="E6" i="1"/>
  <c r="B6" i="1"/>
</calcChain>
</file>

<file path=xl/sharedStrings.xml><?xml version="1.0" encoding="utf-8"?>
<sst xmlns="http://schemas.openxmlformats.org/spreadsheetml/2006/main" count="3164" uniqueCount="793">
  <si>
    <t>Qure.ai Life Sciences BD CRM</t>
  </si>
  <si>
    <t>India-only research snapshot as of 30 Sep 2026. Verify direct contact routes and unverified roles before outreach.</t>
  </si>
  <si>
    <t>Leads by sector</t>
  </si>
  <si>
    <t>Leads by geography</t>
  </si>
  <si>
    <t>Pipeline stage</t>
  </si>
  <si>
    <t>KPI</t>
  </si>
  <si>
    <t>Value</t>
  </si>
  <si>
    <t>Sector</t>
  </si>
  <si>
    <t>Contacts</t>
  </si>
  <si>
    <t>Geography</t>
  </si>
  <si>
    <t>Stage</t>
  </si>
  <si>
    <t>Opportunities</t>
  </si>
  <si>
    <t>Total accounts</t>
  </si>
  <si>
    <t>Pharma</t>
  </si>
  <si>
    <t>Global</t>
  </si>
  <si>
    <t>Research</t>
  </si>
  <si>
    <t>Total contacts</t>
  </si>
  <si>
    <t>Biotech</t>
  </si>
  <si>
    <t>India</t>
  </si>
  <si>
    <t>Qualified</t>
  </si>
  <si>
    <t>High-priority leads (score ≥4.5)</t>
  </si>
  <si>
    <t>Diagnostics</t>
  </si>
  <si>
    <t>Unverified</t>
  </si>
  <si>
    <t>Discovery</t>
  </si>
  <si>
    <t>Tier 1 accounts</t>
  </si>
  <si>
    <t>Imaging &amp; MedTech</t>
  </si>
  <si>
    <t>Other</t>
  </si>
  <si>
    <t>Proposal</t>
  </si>
  <si>
    <t>Accounts with coverage</t>
  </si>
  <si>
    <t>Digital Health</t>
  </si>
  <si>
    <t>Negotiation</t>
  </si>
  <si>
    <t>Overdue next steps</t>
  </si>
  <si>
    <t>Clinical Research</t>
  </si>
  <si>
    <t>Closed Won</t>
  </si>
  <si>
    <t>Research freshness (&lt;90 days)</t>
  </si>
  <si>
    <t>Verified contacts</t>
  </si>
  <si>
    <t>Leads by seniority</t>
  </si>
  <si>
    <t>Leads by solution interest</t>
  </si>
  <si>
    <t>Seniority</t>
  </si>
  <si>
    <t>Solution interest</t>
  </si>
  <si>
    <t>C-suite</t>
  </si>
  <si>
    <t>Clinical trials / imaging biomarkers</t>
  </si>
  <si>
    <t>EVP/SVP</t>
  </si>
  <si>
    <t>Imaging AI integration</t>
  </si>
  <si>
    <t>VP</t>
  </si>
  <si>
    <t>Digital health / AI platform</t>
  </si>
  <si>
    <t>Director</t>
  </si>
  <si>
    <t>RWE / commercial evidence</t>
  </si>
  <si>
    <t>Global Head</t>
  </si>
  <si>
    <t>Business Unit Head</t>
  </si>
  <si>
    <t>Accounts</t>
  </si>
  <si>
    <t>Priority Life Sciences / MedTech account universe. As of 30 Sep 2026.</t>
  </si>
  <si>
    <t>Account ID</t>
  </si>
  <si>
    <t>Company name</t>
  </si>
  <si>
    <t>Sub-sector</t>
  </si>
  <si>
    <t>Headquarters</t>
  </si>
  <si>
    <t>Priority markets</t>
  </si>
  <si>
    <t>Company size / revenue band</t>
  </si>
  <si>
    <t>Relevant therapeutic/device focus</t>
  </si>
  <si>
    <t>Existing Qure.ai relevance / use case</t>
  </si>
  <si>
    <t>Strategic tier</t>
  </si>
  <si>
    <t>Account owner</t>
  </si>
  <si>
    <t>Relationship status</t>
  </si>
  <si>
    <t>Account-level opportunity hypothesis</t>
  </si>
  <si>
    <t>Source URL</t>
  </si>
  <si>
    <t>Research date</t>
  </si>
  <si>
    <t>Coverage score</t>
  </si>
  <si>
    <t>ACC-001</t>
  </si>
  <si>
    <t>Sun Pharmaceutical Industries</t>
  </si>
  <si>
    <t>India Pharma</t>
  </si>
  <si>
    <t>Mumbai, India</t>
  </si>
  <si>
    <t>India; Emerging Markets</t>
  </si>
  <si>
    <t>Large / listed India</t>
  </si>
  <si>
    <t>Specialty, chronic care, generics</t>
  </si>
  <si>
    <t>Clinical evidence; imaging biomarkers</t>
  </si>
  <si>
    <t>Tier 1</t>
  </si>
  <si>
    <t>Life Sciences BD - India</t>
  </si>
  <si>
    <t>Prospect</t>
  </si>
  <si>
    <t>India commercial scale and specialty portfolio justify evidence-generation outreach.</t>
  </si>
  <si>
    <t>https://sunpharma.com/board-of-directors/</t>
  </si>
  <si>
    <t>ACC-002</t>
  </si>
  <si>
    <t>Dr. Reddy’s Laboratories</t>
  </si>
  <si>
    <t>India Pharma &amp; Services</t>
  </si>
  <si>
    <t>Hyderabad, India</t>
  </si>
  <si>
    <t>India; US; EU; Emerging Markets</t>
  </si>
  <si>
    <t>Generics, biosimilars, API, services</t>
  </si>
  <si>
    <t>Clinical trials; RWE; digital health</t>
  </si>
  <si>
    <t>India and emerging-market portfolio provides clinical-development and evidence opportunities.</t>
  </si>
  <si>
    <t>https://api.drreddys.com/pt-pt/events/cphi-india-2025</t>
  </si>
  <si>
    <t>ACC-003</t>
  </si>
  <si>
    <t>Cipla</t>
  </si>
  <si>
    <t>India; South Africa; Emerging Markets</t>
  </si>
  <si>
    <t>Respiratory, HIV, chronic therapies</t>
  </si>
  <si>
    <t>Digital health; RWE; access evidence</t>
  </si>
  <si>
    <t>Digital-health and India leadership make Cipla a priority evidence partner.</t>
  </si>
  <si>
    <t>https://www.cipla.com/node/713474</t>
  </si>
  <si>
    <t>ACC-004</t>
  </si>
  <si>
    <t>Biocon</t>
  </si>
  <si>
    <t>Biosimilars &amp; Biologics</t>
  </si>
  <si>
    <t>Bengaluru, India</t>
  </si>
  <si>
    <t>Biosimilars, peptides, APIs</t>
  </si>
  <si>
    <t>Clinical development; medical affairs</t>
  </si>
  <si>
    <t>Biosimilar development and global commercialization create imaging/RWE hypotheses.</t>
  </si>
  <si>
    <t>https://www.biocon.com/about-us/executive-committee/</t>
  </si>
  <si>
    <t>ACC-005</t>
  </si>
  <si>
    <t>Lupin</t>
  </si>
  <si>
    <t>Chronic care, respiratory, TB, biologics</t>
  </si>
  <si>
    <t>Clinical development; digital health</t>
  </si>
  <si>
    <t>India formulations and innovation teams are high-priority targets.</t>
  </si>
  <si>
    <t>https://lupin.com/about-us/leadership</t>
  </si>
  <si>
    <t>ACC-006</t>
  </si>
  <si>
    <t>Aurobindo Pharma</t>
  </si>
  <si>
    <t>Generics, biologics, vaccines, peptides</t>
  </si>
  <si>
    <t>Clinical development; MedTech integration</t>
  </si>
  <si>
    <t>Biologics and vaccine leadership are relevant to trial-imaging partnerships.</t>
  </si>
  <si>
    <t>https://www.aurobindo.com/about-us/management/board-of-directors</t>
  </si>
  <si>
    <t>ACC-007</t>
  </si>
  <si>
    <t>Alembic Pharmaceuticals</t>
  </si>
  <si>
    <t>Vadodara, India</t>
  </si>
  <si>
    <t>India; US; EU</t>
  </si>
  <si>
    <t>Formulations, API</t>
  </si>
  <si>
    <t>Clinical development; commercial evidence</t>
  </si>
  <si>
    <t>Tier 2</t>
  </si>
  <si>
    <t>India pharma account with public senior-management disclosures.</t>
  </si>
  <si>
    <t>https://alembicpharmaceuticals.com/shareholder-information</t>
  </si>
  <si>
    <t>ACC-008</t>
  </si>
  <si>
    <t>GSK India</t>
  </si>
  <si>
    <t>India Commercial &amp; Vaccines</t>
  </si>
  <si>
    <t>Large / listed India affiliate</t>
  </si>
  <si>
    <t>Vaccines, oncology, general medicines</t>
  </si>
  <si>
    <t>Medical affairs; RWE; India pilots</t>
  </si>
  <si>
    <t>Medical and regulatory leadership can sponsor India evidence programs.</t>
  </si>
  <si>
    <t>https://india-pharma.gsk.com/en-in/company/board-of-directors-and-india-leadership-team/</t>
  </si>
  <si>
    <t>ACC-009</t>
  </si>
  <si>
    <t>Zydus Lifesciences</t>
  </si>
  <si>
    <t>Ahmedabad, India</t>
  </si>
  <si>
    <t>Vaccines, biologics, formulations</t>
  </si>
  <si>
    <t>Clinical development; diagnostics</t>
  </si>
  <si>
    <t>India innovation and vaccine platform is strategically relevant.</t>
  </si>
  <si>
    <t>https://www.zyduslife.com/investor/admin/uploads/14/2/2024-2025.pdf</t>
  </si>
  <si>
    <t>ACC-010</t>
  </si>
  <si>
    <t>Torrent Pharmaceuticals</t>
  </si>
  <si>
    <t>Cardiovascular, CNS, GI, diabetes</t>
  </si>
  <si>
    <t>RWE; commercial evidence</t>
  </si>
  <si>
    <t>Chronic-therapy market leadership supports RWE and commercial-evidence hypothesis.</t>
  </si>
  <si>
    <t>https://www.torrentpharma.com/investors/corporate-governance/board-of-directors/</t>
  </si>
  <si>
    <t>ACC-011</t>
  </si>
  <si>
    <t>Mankind Pharma</t>
  </si>
  <si>
    <t>New Delhi, India</t>
  </si>
  <si>
    <t>Acute and chronic therapies, consumer health</t>
  </si>
  <si>
    <t>India evidence; commercial partnerships</t>
  </si>
  <si>
    <t>Large India commercial platform; senior-contact roles require verification.</t>
  </si>
  <si>
    <t>https://www.mankindpharma.com/about-us/board-of-directors</t>
  </si>
  <si>
    <t>ACC-012</t>
  </si>
  <si>
    <t>Emcure Pharmaceuticals</t>
  </si>
  <si>
    <t>Pune, India</t>
  </si>
  <si>
    <t>Oncology, gynecology, cardiovascular</t>
  </si>
  <si>
    <t>Clinical trials; medical affairs</t>
  </si>
  <si>
    <t>India specialty portfolio supports clinical evidence exploration.</t>
  </si>
  <si>
    <t>https://www.emcure.com/about-us/leadership/</t>
  </si>
  <si>
    <t>ACC-013</t>
  </si>
  <si>
    <t>Glenmark Pharmaceuticals</t>
  </si>
  <si>
    <t>Respiratory, dermatology, oncology</t>
  </si>
  <si>
    <t>Clinical development; RWE</t>
  </si>
  <si>
    <t>Priority India pharma account; leadership research queued.</t>
  </si>
  <si>
    <t>https://www.glenmarkpharma.com/about-us/leadership</t>
  </si>
  <si>
    <t>ACC-014</t>
  </si>
  <si>
    <t>Alkem Laboratories</t>
  </si>
  <si>
    <t>Anti-infectives, chronic therapies</t>
  </si>
  <si>
    <t>Commercial evidence; RWE</t>
  </si>
  <si>
    <t>https://www.alkemlabs.com/about-us/board-of-directors/</t>
  </si>
  <si>
    <t>ACC-015</t>
  </si>
  <si>
    <t>Intas Pharmaceuticals</t>
  </si>
  <si>
    <t>Biopharma</t>
  </si>
  <si>
    <t>India; EU; Emerging Markets</t>
  </si>
  <si>
    <t>Large / private India</t>
  </si>
  <si>
    <t>Biosimilars, oncology, plasma</t>
  </si>
  <si>
    <t>Clinical development; imaging biomarkers</t>
  </si>
  <si>
    <t>Biosimilar and oncology portfolio makes Intas strategically relevant.</t>
  </si>
  <si>
    <t>https://www.intaspharma.com/about-us/leadership/</t>
  </si>
  <si>
    <t>ACC-016</t>
  </si>
  <si>
    <t>Serum Institute of India</t>
  </si>
  <si>
    <t>Vaccines</t>
  </si>
  <si>
    <t>India; Global</t>
  </si>
  <si>
    <t>Vaccines, biologics</t>
  </si>
  <si>
    <t>India vaccine leader; contact research queued.</t>
  </si>
  <si>
    <t>https://www.seruminstitute.com/</t>
  </si>
  <si>
    <t>ACC-017</t>
  </si>
  <si>
    <t>Bharat Biotech</t>
  </si>
  <si>
    <t>Vaccines &amp; Biologics</t>
  </si>
  <si>
    <t>India vaccine and biologics platform; contact research queued.</t>
  </si>
  <si>
    <t>https://www.bharatbiotech.com/</t>
  </si>
  <si>
    <t>ACC-018</t>
  </si>
  <si>
    <t>Tata Medical and Diagnostics</t>
  </si>
  <si>
    <t>Growth / private India</t>
  </si>
  <si>
    <t>Molecular diagnostics, point-of-care</t>
  </si>
  <si>
    <t>Diagnostics AI; clinical workflow</t>
  </si>
  <si>
    <t>Strategic Partnerships</t>
  </si>
  <si>
    <t>India diagnostics platform with potential AI workflow relevance.</t>
  </si>
  <si>
    <t>https://www.tatamd.com/</t>
  </si>
  <si>
    <t>ACC-019</t>
  </si>
  <si>
    <t>Trivitron Healthcare</t>
  </si>
  <si>
    <t>Diagnostics &amp; MedTech</t>
  </si>
  <si>
    <t>Chennai, India</t>
  </si>
  <si>
    <t>Diagnostics, imaging, devices</t>
  </si>
  <si>
    <t>AI imaging and diagnostics</t>
  </si>
  <si>
    <t>India MedTech and diagnostics distribution/integration hypothesis.</t>
  </si>
  <si>
    <t>https://www.trivitron.com/about-us/</t>
  </si>
  <si>
    <t>ACC-020</t>
  </si>
  <si>
    <t>Molbio Diagnostics</t>
  </si>
  <si>
    <t>Molecular Diagnostics</t>
  </si>
  <si>
    <t>Goa, India</t>
  </si>
  <si>
    <t>Molecular diagnostics</t>
  </si>
  <si>
    <t>Molecular-diagnostics platform; contact research queued.</t>
  </si>
  <si>
    <t>https://www.molbiodiagnostics.com/</t>
  </si>
  <si>
    <t>ACC-021</t>
  </si>
  <si>
    <t>HealthCare Global Enterprises</t>
  </si>
  <si>
    <t>Oncology Care</t>
  </si>
  <si>
    <t>Oncology, diagnostics, radiology</t>
  </si>
  <si>
    <t>Imaging workflow; clinical research</t>
  </si>
  <si>
    <t>Oncology provider could evaluate clinical imaging and workflow solutions.</t>
  </si>
  <si>
    <t>https://hcgoncology.com/about-us/leadership/</t>
  </si>
  <si>
    <t>ACC-022</t>
  </si>
  <si>
    <t>Apollo Hospitals Enterprise</t>
  </si>
  <si>
    <t>Provider Network</t>
  </si>
  <si>
    <t>Hospitals, diagnostics, digital health</t>
  </si>
  <si>
    <t>Imaging AI; enterprise clinical workflow</t>
  </si>
  <si>
    <t>Provider-network partner for clinical AI workflow validation.</t>
  </si>
  <si>
    <t>https://www.apollohospitals.com/about-us/leadership/</t>
  </si>
  <si>
    <t>ACC-023</t>
  </si>
  <si>
    <t>Metropolis Healthcare</t>
  </si>
  <si>
    <t>Diagnostic Labs</t>
  </si>
  <si>
    <t>Pathology, diagnostics</t>
  </si>
  <si>
    <t>Diagnostics AI; commercial evidence</t>
  </si>
  <si>
    <t>Diagnostics-network opportunity; contact research queued.</t>
  </si>
  <si>
    <t>https://www.metropolisindia.com/about-us/leadership</t>
  </si>
  <si>
    <t>ACC-024</t>
  </si>
  <si>
    <t>Dr. Lal PathLabs</t>
  </si>
  <si>
    <t>Diagnostics AI; workflow</t>
  </si>
  <si>
    <t>https://www.lalpathlabs.com/about-us/leadership</t>
  </si>
  <si>
    <t>ACC-025</t>
  </si>
  <si>
    <t>Narayana Health</t>
  </si>
  <si>
    <t>Hospitals, oncology, cardiology</t>
  </si>
  <si>
    <t>Imaging AI; clinical workflow</t>
  </si>
  <si>
    <t>Provider-network opportunity; contact research queued.</t>
  </si>
  <si>
    <t>https://www.narayanahealth.org/about-us/leadership</t>
  </si>
  <si>
    <t>Public professional information only. No inferred personal emails, phones, or profile URLs.</t>
  </si>
  <si>
    <t>Contact ID</t>
  </si>
  <si>
    <t>Full name</t>
  </si>
  <si>
    <t>Current job title</t>
  </si>
  <si>
    <t>Function</t>
  </si>
  <si>
    <t>Verified public profile URL</t>
  </si>
  <si>
    <t>Public work email</t>
  </si>
  <si>
    <t>Relevance score (1–5)</t>
  </si>
  <si>
    <t>Buying influence</t>
  </si>
  <si>
    <t>Likely Qure.ai use case</t>
  </si>
  <si>
    <t>Personalisation / research notes</t>
  </si>
  <si>
    <t>Source type</t>
  </si>
  <si>
    <t>Verification status</t>
  </si>
  <si>
    <t>Last verified date</t>
  </si>
  <si>
    <t>Lead score</t>
  </si>
  <si>
    <t>Account sector</t>
  </si>
  <si>
    <t>CON-001</t>
  </si>
  <si>
    <t>Dilip Shanghvi</t>
  </si>
  <si>
    <t>Executive Chairman</t>
  </si>
  <si>
    <t>Executive Leadership</t>
  </si>
  <si>
    <t>Economic Buyer</t>
  </si>
  <si>
    <t>Official company leadership source reviewed; tailor outreach to India evidence, clinical development, medical affairs, or digital-health priorities.</t>
  </si>
  <si>
    <t>Official company leadership page</t>
  </si>
  <si>
    <t>Verified - official source</t>
  </si>
  <si>
    <t>CON-002</t>
  </si>
  <si>
    <t>Kirti Ganorkar</t>
  </si>
  <si>
    <t>Managing Director</t>
  </si>
  <si>
    <t>CON-003</t>
  </si>
  <si>
    <t>Aalok Shanghvi</t>
  </si>
  <si>
    <t>Executive Director</t>
  </si>
  <si>
    <t>Corporate Development</t>
  </si>
  <si>
    <t>Champion</t>
  </si>
  <si>
    <t>CON-004</t>
  </si>
  <si>
    <t>Vidhi Shanghvi</t>
  </si>
  <si>
    <t>Commercial / Market Access</t>
  </si>
  <si>
    <t>CON-005</t>
  </si>
  <si>
    <t>Pawan Goenka</t>
  </si>
  <si>
    <t>Lead Independent Director</t>
  </si>
  <si>
    <t>CON-006</t>
  </si>
  <si>
    <t>Gautam Doshi</t>
  </si>
  <si>
    <t>Independent Director</t>
  </si>
  <si>
    <t>CON-007</t>
  </si>
  <si>
    <t>Andreas Eugen Busch</t>
  </si>
  <si>
    <t>R&amp;D / Clinical Development</t>
  </si>
  <si>
    <t>Technical Evaluator</t>
  </si>
  <si>
    <t>CON-008</t>
  </si>
  <si>
    <t>Rolf Hoffmann</t>
  </si>
  <si>
    <t>CON-009</t>
  </si>
  <si>
    <t>Satyavati Berera</t>
  </si>
  <si>
    <t>CON-010</t>
  </si>
  <si>
    <t>Kalyanasundaram Subramanian</t>
  </si>
  <si>
    <t>CON-011</t>
  </si>
  <si>
    <t>Jayashree Satagopan</t>
  </si>
  <si>
    <t>Chief Financial Officer</t>
  </si>
  <si>
    <t>CON-012</t>
  </si>
  <si>
    <t>Anoop Deshpande</t>
  </si>
  <si>
    <t>Company Secretary &amp; Compliance Officer</t>
  </si>
  <si>
    <t>CON-013</t>
  </si>
  <si>
    <t>Rama Bijapurkar</t>
  </si>
  <si>
    <t>CON-014</t>
  </si>
  <si>
    <t>Sapna Purohit</t>
  </si>
  <si>
    <t>Senior Vice President, Head of Human Resources</t>
  </si>
  <si>
    <t>Publicly known leadership record retained for research continuity. Verify current role directly on the company site before outreach.</t>
  </si>
  <si>
    <t>Unverified - recheck official source</t>
  </si>
  <si>
    <t>CON-015</t>
  </si>
  <si>
    <t>Anilkumar Jain</t>
  </si>
  <si>
    <t>CEO, API Business</t>
  </si>
  <si>
    <t>Operations / Supply</t>
  </si>
  <si>
    <t>CON-016</t>
  </si>
  <si>
    <t>Deepak Sapra</t>
  </si>
  <si>
    <t>CEO, Pharmaceutical Services and Active Ingredients</t>
  </si>
  <si>
    <t>CON-017</t>
  </si>
  <si>
    <t>A Kalyan Chakravarthy</t>
  </si>
  <si>
    <t>Executive VP &amp; Head - SEAMEA &amp; B2B Formulations</t>
  </si>
  <si>
    <t>CON-018</t>
  </si>
  <si>
    <t>B Vivek</t>
  </si>
  <si>
    <t>Executive VP &amp; Global Head - Supply, Demand Planning &amp; Delivery</t>
  </si>
  <si>
    <t>CON-019</t>
  </si>
  <si>
    <t>E Sreedhar</t>
  </si>
  <si>
    <t>Executive Vice President, Global Regulatory Affairs</t>
  </si>
  <si>
    <t>Medical Affairs</t>
  </si>
  <si>
    <t>CON-020</t>
  </si>
  <si>
    <t>Ashwinikumar Kulkarni</t>
  </si>
  <si>
    <t>Vice President &amp; Global Head - Demand Planning, Customer Support &amp; Program Management</t>
  </si>
  <si>
    <t>CON-021</t>
  </si>
  <si>
    <t>Siddhartha Deshpande</t>
  </si>
  <si>
    <t>Associate Vice President, API Sales &amp; BD</t>
  </si>
  <si>
    <t>CON-022</t>
  </si>
  <si>
    <t>Vishal N Bhojak</t>
  </si>
  <si>
    <t>Director, Sales &amp; Marketing - India &amp; South Asia</t>
  </si>
  <si>
    <t>CON-023</t>
  </si>
  <si>
    <t>Susmit Dey</t>
  </si>
  <si>
    <t>Director, Sales &amp; BD – API and B2B Formulations, SSEA</t>
  </si>
  <si>
    <t>CON-024</t>
  </si>
  <si>
    <t>Mukesh Rathi</t>
  </si>
  <si>
    <t>Chief Digital and Information Officer</t>
  </si>
  <si>
    <t>Digital / Data / AI</t>
  </si>
  <si>
    <t>CON-025</t>
  </si>
  <si>
    <t>Jayanth Sridhar</t>
  </si>
  <si>
    <t>Global Head Biologics</t>
  </si>
  <si>
    <t>CON-026</t>
  </si>
  <si>
    <t>Achin Gupta</t>
  </si>
  <si>
    <t>Managing Director and Global Chief Executive Officer</t>
  </si>
  <si>
    <t>CON-027</t>
  </si>
  <si>
    <t>Y K Hamied</t>
  </si>
  <si>
    <t>Non-Executive Chairman</t>
  </si>
  <si>
    <t>CON-028</t>
  </si>
  <si>
    <t>Umang Vohra</t>
  </si>
  <si>
    <t>Former MD &amp; Global CEO</t>
  </si>
  <si>
    <t>CON-029</t>
  </si>
  <si>
    <t>Nikhil Chopra</t>
  </si>
  <si>
    <t>Chief Executive Officer, India Business</t>
  </si>
  <si>
    <t>CON-030</t>
  </si>
  <si>
    <t>Saugata Gupta</t>
  </si>
  <si>
    <t>CON-031</t>
  </si>
  <si>
    <t>Shreehas P Tambe</t>
  </si>
  <si>
    <t>Chief Executive Officer and Managing Director</t>
  </si>
  <si>
    <t>CON-032</t>
  </si>
  <si>
    <t>Anuj Goel</t>
  </si>
  <si>
    <t>Chief Development Officer</t>
  </si>
  <si>
    <t>CON-033</t>
  </si>
  <si>
    <t>Kedar Upadhye</t>
  </si>
  <si>
    <t>CON-034</t>
  </si>
  <si>
    <t>Mandar S Ghatnekar</t>
  </si>
  <si>
    <t>Chief Technology Officer</t>
  </si>
  <si>
    <t>CON-035</t>
  </si>
  <si>
    <t>Matthew Erick</t>
  </si>
  <si>
    <t>Chief Commercial Officer – Advanced Markets</t>
  </si>
  <si>
    <t>CON-036</t>
  </si>
  <si>
    <t>Naveen Narayanan</t>
  </si>
  <si>
    <t>Chief Human Resources Officer</t>
  </si>
  <si>
    <t>CON-037</t>
  </si>
  <si>
    <t>Rhonda Duffy</t>
  </si>
  <si>
    <t>Chief Operations Officer</t>
  </si>
  <si>
    <t>CON-038</t>
  </si>
  <si>
    <t>Susheel Umesh</t>
  </si>
  <si>
    <t>Chief Commercial Officer – Emerging Markets and Head of Global API &amp; Global BD</t>
  </si>
  <si>
    <t>CON-039</t>
  </si>
  <si>
    <t>Akhilesh Nand</t>
  </si>
  <si>
    <t>Global Head – Governance, Risk, Compliance</t>
  </si>
  <si>
    <t>CON-040</t>
  </si>
  <si>
    <t>Deepali Naair</t>
  </si>
  <si>
    <t>Global Head of Brand, Marketing &amp; Corporate Communications</t>
  </si>
  <si>
    <t>CON-041</t>
  </si>
  <si>
    <t>Kathleen Blanchard</t>
  </si>
  <si>
    <t>Global General Counsel</t>
  </si>
  <si>
    <t>CON-042</t>
  </si>
  <si>
    <t>Kiran Mazumdar-Shaw</t>
  </si>
  <si>
    <t>Executive Chairperson</t>
  </si>
  <si>
    <t>CON-043</t>
  </si>
  <si>
    <t>Manju D Gupta</t>
  </si>
  <si>
    <t>Chairperson (Non-Executive)</t>
  </si>
  <si>
    <t>CON-044</t>
  </si>
  <si>
    <t>Vinita Gupta</t>
  </si>
  <si>
    <t>Chief Executive Officer</t>
  </si>
  <si>
    <t>CON-045</t>
  </si>
  <si>
    <t>Nilesh D Gupta</t>
  </si>
  <si>
    <t>CON-046</t>
  </si>
  <si>
    <t>Ramesh Swaminathan</t>
  </si>
  <si>
    <t>Executive Director, Global CFO, Head of IT and API Plus SBU</t>
  </si>
  <si>
    <t>CON-047</t>
  </si>
  <si>
    <t>Abdelaziz Toumi</t>
  </si>
  <si>
    <t>CEO – Lupin Manufacturing Solutions</t>
  </si>
  <si>
    <t>CON-048</t>
  </si>
  <si>
    <t>Christoph Funke</t>
  </si>
  <si>
    <t>Chief Technical Operations Officer</t>
  </si>
  <si>
    <t>CON-049</t>
  </si>
  <si>
    <t>Claus Jepsen</t>
  </si>
  <si>
    <t>President – Global Specialty</t>
  </si>
  <si>
    <t>CON-050</t>
  </si>
  <si>
    <t>Cyrus Karkaria</t>
  </si>
  <si>
    <t>President – Biotech Businesses</t>
  </si>
  <si>
    <t>CON-051</t>
  </si>
  <si>
    <t>Fabrice Egros</t>
  </si>
  <si>
    <t>President – Corporate Development</t>
  </si>
  <si>
    <t>CON-052</t>
  </si>
  <si>
    <t>Ranjana Pathak</t>
  </si>
  <si>
    <t>Chief Quality Officer</t>
  </si>
  <si>
    <t>CON-053</t>
  </si>
  <si>
    <t>Rajeev Sibal</t>
  </si>
  <si>
    <t>President – India Region Formulations</t>
  </si>
  <si>
    <t>CON-054</t>
  </si>
  <si>
    <t>Shahin Fesharaki</t>
  </si>
  <si>
    <t>Chief Scientific Officer</t>
  </si>
  <si>
    <t>CON-055</t>
  </si>
  <si>
    <t>Spiro Gavaris</t>
  </si>
  <si>
    <t>President – U.S. Generics</t>
  </si>
  <si>
    <t>CON-056</t>
  </si>
  <si>
    <t>Thierry Volle</t>
  </si>
  <si>
    <t>President – EMEA and Emerging Markets</t>
  </si>
  <si>
    <t>CON-057</t>
  </si>
  <si>
    <t>Yashwant Mahadik</t>
  </si>
  <si>
    <t>President – Global Human Resources</t>
  </si>
  <si>
    <t>CON-058</t>
  </si>
  <si>
    <t>Rajalakshmi Azariah</t>
  </si>
  <si>
    <t>Vice President and Global Head – Corporate Communications</t>
  </si>
  <si>
    <t>CON-059</t>
  </si>
  <si>
    <t>Mangalam Ramasubramanian Kumar</t>
  </si>
  <si>
    <t>Independent Director &amp; Non-Executive Chairman</t>
  </si>
  <si>
    <t>CON-060</t>
  </si>
  <si>
    <t>K Nityananda Reddy</t>
  </si>
  <si>
    <t>Vice Chairman &amp; Managing Director</t>
  </si>
  <si>
    <t>CON-061</t>
  </si>
  <si>
    <t>P V Ram Prasad Reddy</t>
  </si>
  <si>
    <t>Non-Executive Director</t>
  </si>
  <si>
    <t>CON-062</t>
  </si>
  <si>
    <t>M Madan Mohan Reddy</t>
  </si>
  <si>
    <t>Whole Time Director</t>
  </si>
  <si>
    <t>CON-063</t>
  </si>
  <si>
    <t>P Sarath Chandra Reddy</t>
  </si>
  <si>
    <t>CON-064</t>
  </si>
  <si>
    <t>Girish Paman Vanvari</t>
  </si>
  <si>
    <t>CON-065</t>
  </si>
  <si>
    <t>Santanu Mukherjee</t>
  </si>
  <si>
    <t>CON-066</t>
  </si>
  <si>
    <t>Satakarni Makkapati</t>
  </si>
  <si>
    <t>Director; CEO, Biologics, Vaccines and Peptides</t>
  </si>
  <si>
    <t>CON-067</t>
  </si>
  <si>
    <t>Punita Kumar Sinha</t>
  </si>
  <si>
    <t>CON-068</t>
  </si>
  <si>
    <t>Chirayu Amin</t>
  </si>
  <si>
    <t>Chairman &amp; CEO</t>
  </si>
  <si>
    <t>CON-069</t>
  </si>
  <si>
    <t>Pranav Amin</t>
  </si>
  <si>
    <t>CON-070</t>
  </si>
  <si>
    <t>Shaunak Amin</t>
  </si>
  <si>
    <t>CON-071</t>
  </si>
  <si>
    <t>R K Baheti</t>
  </si>
  <si>
    <t>Director - Finance &amp; CFO</t>
  </si>
  <si>
    <t>CON-072</t>
  </si>
  <si>
    <t>Manisha Saraf</t>
  </si>
  <si>
    <t>Company Secretary</t>
  </si>
  <si>
    <t>CON-073</t>
  </si>
  <si>
    <t>Ajay Kumar Desai</t>
  </si>
  <si>
    <t>Senior Vice President - Finance</t>
  </si>
  <si>
    <t>CON-074</t>
  </si>
  <si>
    <t>Bhushan Akshikar</t>
  </si>
  <si>
    <t>CON-075</t>
  </si>
  <si>
    <t>Ronojit Biswas</t>
  </si>
  <si>
    <t>CON-076</t>
  </si>
  <si>
    <t>Harsh Trehan</t>
  </si>
  <si>
    <t>Executive Vice President, Human Resources</t>
  </si>
  <si>
    <t>CON-077</t>
  </si>
  <si>
    <t>Sharmishta Mitra</t>
  </si>
  <si>
    <t>Vice President, Paediatric Vaccines</t>
  </si>
  <si>
    <t>CON-078</t>
  </si>
  <si>
    <t>Carson Dalton</t>
  </si>
  <si>
    <t>Executive Vice President, Communications and Government Affairs</t>
  </si>
  <si>
    <t>CON-079</t>
  </si>
  <si>
    <t>Sukanya Choudhury</t>
  </si>
  <si>
    <t>Executive Vice President, Regulatory Affairs</t>
  </si>
  <si>
    <t>CON-080</t>
  </si>
  <si>
    <t>Shalini Menon</t>
  </si>
  <si>
    <t>Executive Vice President, Medical Affairs</t>
  </si>
  <si>
    <t>CON-081</t>
  </si>
  <si>
    <t>Amit Pandey</t>
  </si>
  <si>
    <t>Executive Vice President, Legal</t>
  </si>
  <si>
    <t>CON-082</t>
  </si>
  <si>
    <t>Omkar Parnandiwar</t>
  </si>
  <si>
    <t>Vice President, Adult Vaccines</t>
  </si>
  <si>
    <t>CON-083</t>
  </si>
  <si>
    <t>Aparajita Rajput</t>
  </si>
  <si>
    <t>Vice President, Technology</t>
  </si>
  <si>
    <t>CON-084</t>
  </si>
  <si>
    <t>Vibhuti Gupta</t>
  </si>
  <si>
    <t>Vice President, Commercial Operations and Strategy</t>
  </si>
  <si>
    <t>CON-085</t>
  </si>
  <si>
    <t>Rishikesh S Jaiwant</t>
  </si>
  <si>
    <t>Executive Vice President, Supply Chain Operations</t>
  </si>
  <si>
    <t>CON-086</t>
  </si>
  <si>
    <t>Vishwanath Swarup</t>
  </si>
  <si>
    <t>Executive Vice President, General Medicines</t>
  </si>
  <si>
    <t>CON-087</t>
  </si>
  <si>
    <t>Vinay Subramanian</t>
  </si>
  <si>
    <t>Vice President, Oncology &amp; Enterprise Management &amp; Access</t>
  </si>
  <si>
    <t>CON-088</t>
  </si>
  <si>
    <t>Pankaj Patel</t>
  </si>
  <si>
    <t>Chairman</t>
  </si>
  <si>
    <t>CON-089</t>
  </si>
  <si>
    <t>Sharvil Patel</t>
  </si>
  <si>
    <t>CON-090</t>
  </si>
  <si>
    <t>Suresh Pareek</t>
  </si>
  <si>
    <t>President</t>
  </si>
  <si>
    <t>CON-091</t>
  </si>
  <si>
    <t>Sushil Shah</t>
  </si>
  <si>
    <t>CON-092</t>
  </si>
  <si>
    <t>Vivek Jain</t>
  </si>
  <si>
    <t>CON-093</t>
  </si>
  <si>
    <t>Samir Mehta</t>
  </si>
  <si>
    <t>CON-094</t>
  </si>
  <si>
    <t>Sudhir Mehta</t>
  </si>
  <si>
    <t>CON-095</t>
  </si>
  <si>
    <t>Aman Mehta</t>
  </si>
  <si>
    <t>CON-096</t>
  </si>
  <si>
    <t>R C Juneja</t>
  </si>
  <si>
    <t>CON-097</t>
  </si>
  <si>
    <t>Rajeev Juneja</t>
  </si>
  <si>
    <t>CON-098</t>
  </si>
  <si>
    <t>Sheetal Arora</t>
  </si>
  <si>
    <t>CON-099</t>
  </si>
  <si>
    <t>Satish Mehta</t>
  </si>
  <si>
    <t>Founder and Chief Executive Officer</t>
  </si>
  <si>
    <t>CON-100</t>
  </si>
  <si>
    <t>Namita Thapar</t>
  </si>
  <si>
    <t>All opportunity values and close dates are planning placeholders, not forecasts.</t>
  </si>
  <si>
    <t>Opportunity ID</t>
  </si>
  <si>
    <t>Company</t>
  </si>
  <si>
    <t>Primary contact</t>
  </si>
  <si>
    <t>Use case</t>
  </si>
  <si>
    <t>Estimated value band</t>
  </si>
  <si>
    <t>Probability</t>
  </si>
  <si>
    <t>Expected close date</t>
  </si>
  <si>
    <t>Competition / alternatives</t>
  </si>
  <si>
    <t>Key stakeholder map</t>
  </si>
  <si>
    <t>Next best action</t>
  </si>
  <si>
    <t>Risks and dependencies</t>
  </si>
  <si>
    <t>Activity status</t>
  </si>
  <si>
    <t>OPP-001</t>
  </si>
  <si>
    <t>₹40L–₹1Cr</t>
  </si>
  <si>
    <t>Internal build; existing data vendors</t>
  </si>
  <si>
    <t>Map India medical, clinical, digital and commercial stakeholders</t>
  </si>
  <si>
    <t>Validate India use case and request an appropriate business conversation</t>
  </si>
  <si>
    <t>Role verification and internal sponsorship required</t>
  </si>
  <si>
    <t>Planned</t>
  </si>
  <si>
    <t>OPP-002</t>
  </si>
  <si>
    <t>OPP-003</t>
  </si>
  <si>
    <t>OPP-004</t>
  </si>
  <si>
    <t>OPP-005</t>
  </si>
  <si>
    <t>OPP-006</t>
  </si>
  <si>
    <t>OPP-007</t>
  </si>
  <si>
    <t>₹10L–₹40L</t>
  </si>
  <si>
    <t>OPP-008</t>
  </si>
  <si>
    <t>OPP-009</t>
  </si>
  <si>
    <t>OPP-010</t>
  </si>
  <si>
    <t>OPP-011</t>
  </si>
  <si>
    <t>OPP-012</t>
  </si>
  <si>
    <t>OPP-013</t>
  </si>
  <si>
    <t>Unassigned - contact research required</t>
  </si>
  <si>
    <t>OPP-014</t>
  </si>
  <si>
    <t>OPP-015</t>
  </si>
  <si>
    <t>OPP-016</t>
  </si>
  <si>
    <t>OPP-017</t>
  </si>
  <si>
    <t>OPP-018</t>
  </si>
  <si>
    <t>OPP-019</t>
  </si>
  <si>
    <t>OPP-020</t>
  </si>
  <si>
    <t>OPP-021</t>
  </si>
  <si>
    <t>OPP-022</t>
  </si>
  <si>
    <t>OPP-023</t>
  </si>
  <si>
    <t>OPP-024</t>
  </si>
  <si>
    <t>OPP-025</t>
  </si>
  <si>
    <t>Outreach &amp; Activities</t>
  </si>
  <si>
    <t>Use approved business channels. Do not add scraped or inferred personal contact information.</t>
  </si>
  <si>
    <t>Date</t>
  </si>
  <si>
    <t>Activity type</t>
  </si>
  <si>
    <t>Owner</t>
  </si>
  <si>
    <t>Target contact ID</t>
  </si>
  <si>
    <t>Target contact</t>
  </si>
  <si>
    <t>Outcome</t>
  </si>
  <si>
    <t>Next action</t>
  </si>
  <si>
    <t>Next-action date</t>
  </si>
  <si>
    <t>Follow-up status</t>
  </si>
  <si>
    <t>Meeting notes / context</t>
  </si>
  <si>
    <t>Automated flag</t>
  </si>
  <si>
    <t>Research review</t>
  </si>
  <si>
    <t>Role and source reviewed</t>
  </si>
  <si>
    <t>Verify relevance and approved contact channel</t>
  </si>
  <si>
    <t>Completed</t>
  </si>
  <si>
    <t>Use only approved business channels; no inferred email or personal profile URL.</t>
  </si>
  <si>
    <t>India outreach preparation</t>
  </si>
  <si>
    <t>Pending internal outreach approval</t>
  </si>
  <si>
    <t>Follow-up Due</t>
  </si>
  <si>
    <t>Research Sources</t>
  </si>
  <si>
    <t>Citation ledger. Every researched account and contact is represented below.</t>
  </si>
  <si>
    <t>Linked account ID</t>
  </si>
  <si>
    <t>Linked contact ID</t>
  </si>
  <si>
    <t>Extracted information</t>
  </si>
  <si>
    <t>Date accessed</t>
  </si>
  <si>
    <t>Verification / confidence</t>
  </si>
  <si>
    <t>Official company / leadership page</t>
  </si>
  <si>
    <t>India account profile and/or leadership source for Sun Pharmaceutical Industries.</t>
  </si>
  <si>
    <t>Official source / high</t>
  </si>
  <si>
    <t>India account profile and/or leadership source for Dr. Reddy’s Laboratories.</t>
  </si>
  <si>
    <t>India account profile and/or leadership source for Cipla.</t>
  </si>
  <si>
    <t>India account profile and/or leadership source for Biocon.</t>
  </si>
  <si>
    <t>India account profile and/or leadership source for Lupin.</t>
  </si>
  <si>
    <t>India account profile and/or leadership source for Aurobindo Pharma.</t>
  </si>
  <si>
    <t>India account profile and/or leadership source for Alembic Pharmaceuticals.</t>
  </si>
  <si>
    <t>India account profile and/or leadership source for GSK India.</t>
  </si>
  <si>
    <t>India account profile and/or leadership source for Zydus Lifesciences.</t>
  </si>
  <si>
    <t>India account profile and/or leadership source for Torrent Pharmaceuticals.</t>
  </si>
  <si>
    <t>India account profile and/or leadership source for Mankind Pharma.</t>
  </si>
  <si>
    <t>India account profile and/or leadership source for Emcure Pharmaceuticals.</t>
  </si>
  <si>
    <t>India account profile and/or leadership source for Glenmark Pharmaceuticals.</t>
  </si>
  <si>
    <t>India account profile and/or leadership source for Alkem Laboratories.</t>
  </si>
  <si>
    <t>India account profile and/or leadership source for Intas Pharmaceuticals.</t>
  </si>
  <si>
    <t>India account profile and/or leadership source for Serum Institute of India.</t>
  </si>
  <si>
    <t>India account profile and/or leadership source for Bharat Biotech.</t>
  </si>
  <si>
    <t>India account profile and/or leadership source for Tata Medical and Diagnostics.</t>
  </si>
  <si>
    <t>India account profile and/or leadership source for Trivitron Healthcare.</t>
  </si>
  <si>
    <t>India account profile and/or leadership source for Molbio Diagnostics.</t>
  </si>
  <si>
    <t>India account profile and/or leadership source for HealthCare Global Enterprises.</t>
  </si>
  <si>
    <t>India account profile and/or leadership source for Apollo Hospitals Enterprise.</t>
  </si>
  <si>
    <t>India account profile and/or leadership source for Metropolis Healthcare.</t>
  </si>
  <si>
    <t>India account profile and/or leadership source for Dr. Lal PathLabs.</t>
  </si>
  <si>
    <t>India account profile and/or leadership source for Narayana Health.</t>
  </si>
  <si>
    <t>Dilip Shanghvi — Executive Chairman.</t>
  </si>
  <si>
    <t>Verified official source / high</t>
  </si>
  <si>
    <t>Kirti Ganorkar — Managing Director.</t>
  </si>
  <si>
    <t>Aalok Shanghvi — Executive Director.</t>
  </si>
  <si>
    <t>Vidhi Shanghvi — Executive Director.</t>
  </si>
  <si>
    <t>Pawan Goenka — Lead Independent Director.</t>
  </si>
  <si>
    <t>Gautam Doshi — Independent Director.</t>
  </si>
  <si>
    <t>Andreas Eugen Busch — Independent Director.</t>
  </si>
  <si>
    <t>Rolf Hoffmann — Independent Director.</t>
  </si>
  <si>
    <t>Satyavati Berera — Independent Director.</t>
  </si>
  <si>
    <t>Kalyanasundaram Subramanian — Executive Director.</t>
  </si>
  <si>
    <t>Jayashree Satagopan — Chief Financial Officer.</t>
  </si>
  <si>
    <t>Anoop Deshpande — Company Secretary &amp; Compliance Officer.</t>
  </si>
  <si>
    <t>Rama Bijapurkar — Independent Director.</t>
  </si>
  <si>
    <t>Sapna Purohit — Senior Vice President, Head of Human Resources.</t>
  </si>
  <si>
    <t>Unverified; recheck official company source</t>
  </si>
  <si>
    <t>Anilkumar Jain — CEO, API Business.</t>
  </si>
  <si>
    <t>Deepak Sapra — CEO, Pharmaceutical Services and Active Ingredients.</t>
  </si>
  <si>
    <t>A Kalyan Chakravarthy — Executive VP &amp; Head - SEAMEA &amp; B2B Formulations.</t>
  </si>
  <si>
    <t>B Vivek — Executive VP &amp; Global Head - Supply, Demand Planning &amp; Delivery.</t>
  </si>
  <si>
    <t>E Sreedhar — Executive Vice President, Global Regulatory Affairs.</t>
  </si>
  <si>
    <t>Ashwinikumar Kulkarni — Vice President &amp; Global Head - Demand Planning, Customer Support &amp; Program Management.</t>
  </si>
  <si>
    <t>Siddhartha Deshpande — Associate Vice President, API Sales &amp; BD.</t>
  </si>
  <si>
    <t>Vishal N Bhojak — Director, Sales &amp; Marketing - India &amp; South Asia.</t>
  </si>
  <si>
    <t>Susmit Dey — Director, Sales &amp; BD – API and B2B Formulations, SSEA.</t>
  </si>
  <si>
    <t>Mukesh Rathi — Chief Digital and Information Officer.</t>
  </si>
  <si>
    <t>Jayanth Sridhar — Global Head Biologics.</t>
  </si>
  <si>
    <t>Achin Gupta — Managing Director and Global Chief Executive Officer.</t>
  </si>
  <si>
    <t>Y K Hamied — Non-Executive Chairman.</t>
  </si>
  <si>
    <t>Umang Vohra — Former MD &amp; Global CEO.</t>
  </si>
  <si>
    <t>Nikhil Chopra — Chief Executive Officer, India Business.</t>
  </si>
  <si>
    <t>Saugata Gupta — Independent Director.</t>
  </si>
  <si>
    <t>Shreehas P Tambe — Chief Executive Officer and Managing Director.</t>
  </si>
  <si>
    <t>Anuj Goel — Chief Development Officer.</t>
  </si>
  <si>
    <t>Kedar Upadhye — Chief Financial Officer.</t>
  </si>
  <si>
    <t>Mandar S Ghatnekar — Chief Technology Officer.</t>
  </si>
  <si>
    <t>Matthew Erick — Chief Commercial Officer – Advanced Markets.</t>
  </si>
  <si>
    <t>Naveen Narayanan — Chief Human Resources Officer.</t>
  </si>
  <si>
    <t>Rhonda Duffy — Chief Operations Officer.</t>
  </si>
  <si>
    <t>Susheel Umesh — Chief Commercial Officer – Emerging Markets and Head of Global API &amp; Global BD.</t>
  </si>
  <si>
    <t>Akhilesh Nand — Global Head – Governance, Risk, Compliance.</t>
  </si>
  <si>
    <t>Deepali Naair — Global Head of Brand, Marketing &amp; Corporate Communications.</t>
  </si>
  <si>
    <t>Kathleen Blanchard — Global General Counsel.</t>
  </si>
  <si>
    <t>Kiran Mazumdar-Shaw — Executive Chairperson.</t>
  </si>
  <si>
    <t>Manju D Gupta — Chairperson (Non-Executive).</t>
  </si>
  <si>
    <t>Vinita Gupta — Chief Executive Officer.</t>
  </si>
  <si>
    <t>Nilesh D Gupta — Managing Director.</t>
  </si>
  <si>
    <t>Ramesh Swaminathan — Executive Director, Global CFO, Head of IT and API Plus SBU.</t>
  </si>
  <si>
    <t>Abdelaziz Toumi — CEO – Lupin Manufacturing Solutions.</t>
  </si>
  <si>
    <t>Christoph Funke — Chief Technical Operations Officer.</t>
  </si>
  <si>
    <t>Claus Jepsen — President – Global Specialty.</t>
  </si>
  <si>
    <t>Cyrus Karkaria — President – Biotech Businesses.</t>
  </si>
  <si>
    <t>Fabrice Egros — President – Corporate Development.</t>
  </si>
  <si>
    <t>Ranjana Pathak — Chief Quality Officer.</t>
  </si>
  <si>
    <t>Rajeev Sibal — President – India Region Formulations.</t>
  </si>
  <si>
    <t>Shahin Fesharaki — Chief Scientific Officer.</t>
  </si>
  <si>
    <t>Spiro Gavaris — President – U.S. Generics.</t>
  </si>
  <si>
    <t>Thierry Volle — President – EMEA and Emerging Markets.</t>
  </si>
  <si>
    <t>Yashwant Mahadik — President – Global Human Resources.</t>
  </si>
  <si>
    <t>Rajalakshmi Azariah — Vice President and Global Head – Corporate Communications.</t>
  </si>
  <si>
    <t>Mangalam Ramasubramanian Kumar — Independent Director &amp; Non-Executive Chairman.</t>
  </si>
  <si>
    <t>K Nityananda Reddy — Vice Chairman &amp; Managing Director.</t>
  </si>
  <si>
    <t>P V Ram Prasad Reddy — Non-Executive Director.</t>
  </si>
  <si>
    <t>M Madan Mohan Reddy — Whole Time Director.</t>
  </si>
  <si>
    <t>P Sarath Chandra Reddy — Non-Executive Director.</t>
  </si>
  <si>
    <t>Girish Paman Vanvari — Independent Director.</t>
  </si>
  <si>
    <t>Santanu Mukherjee — Independent Director.</t>
  </si>
  <si>
    <t>Satakarni Makkapati — Director; CEO, Biologics, Vaccines and Peptides.</t>
  </si>
  <si>
    <t>Punita Kumar Sinha — Independent Director.</t>
  </si>
  <si>
    <t>Chirayu Amin — Chairman &amp; CEO.</t>
  </si>
  <si>
    <t>Pranav Amin — Managing Director.</t>
  </si>
  <si>
    <t>Shaunak Amin — Managing Director.</t>
  </si>
  <si>
    <t>R K Baheti — Director - Finance &amp; CFO.</t>
  </si>
  <si>
    <t>Manisha Saraf — Company Secretary.</t>
  </si>
  <si>
    <t>Ajay Kumar Desai — Senior Vice President - Finance.</t>
  </si>
  <si>
    <t>Bhushan Akshikar — Managing Director.</t>
  </si>
  <si>
    <t>Ronojit Biswas — Chief Financial Officer.</t>
  </si>
  <si>
    <t>Harsh Trehan — Executive Vice President, Human Resources.</t>
  </si>
  <si>
    <t>Sharmishta Mitra — Vice President, Paediatric Vaccines.</t>
  </si>
  <si>
    <t>Carson Dalton — Executive Vice President, Communications and Government Affairs.</t>
  </si>
  <si>
    <t>Sukanya Choudhury — Executive Vice President, Regulatory Affairs.</t>
  </si>
  <si>
    <t>Shalini Menon — Executive Vice President, Medical Affairs.</t>
  </si>
  <si>
    <t>Amit Pandey — Executive Vice President, Legal.</t>
  </si>
  <si>
    <t>Omkar Parnandiwar — Vice President, Adult Vaccines.</t>
  </si>
  <si>
    <t>Aparajita Rajput — Vice President, Technology.</t>
  </si>
  <si>
    <t>Vibhuti Gupta — Vice President, Commercial Operations and Strategy.</t>
  </si>
  <si>
    <t>Rishikesh S Jaiwant — Executive Vice President, Supply Chain Operations.</t>
  </si>
  <si>
    <t>Vishwanath Swarup — Executive Vice President, General Medicines.</t>
  </si>
  <si>
    <t>Vinay Subramanian — Vice President, Oncology &amp; Enterprise Management &amp; Access.</t>
  </si>
  <si>
    <t>Pankaj Patel — Chairman.</t>
  </si>
  <si>
    <t>Sharvil Patel — Managing Director.</t>
  </si>
  <si>
    <t>Suresh Pareek — President.</t>
  </si>
  <si>
    <t>Sushil Shah — Chief Financial Officer.</t>
  </si>
  <si>
    <t>Vivek Jain — President.</t>
  </si>
  <si>
    <t>Samir Mehta — Chairman.</t>
  </si>
  <si>
    <t>Sudhir Mehta — Director.</t>
  </si>
  <si>
    <t>Aman Mehta — Executive Director.</t>
  </si>
  <si>
    <t>R C Juneja — Chairman.</t>
  </si>
  <si>
    <t>Rajeev Juneja — Managing Director.</t>
  </si>
  <si>
    <t>Sheetal Arora — Chief Executive Officer.</t>
  </si>
  <si>
    <t>Satish Mehta — Founder and Chief Executive Officer.</t>
  </si>
  <si>
    <t>Namita Thapar — Executive Director.</t>
  </si>
  <si>
    <t>How to Use</t>
  </si>
  <si>
    <t>Workflow, governance and data-quality rules.</t>
  </si>
  <si>
    <t>Workflow step</t>
  </si>
  <si>
    <t>Guidance</t>
  </si>
  <si>
    <t>1. Add or update an account</t>
  </si>
  <si>
    <t>Create a unique Account ID for an India-relevant company. Select sector, tier, India owner, and relationship status from the dropdowns. Add a current official source URL and research date.</t>
  </si>
  <si>
    <t>2. Add a contact</t>
  </si>
  <si>
    <t>Use public professional information only. Add a personal profile URL only if you verified it. Never infer email formats, phone numbers, job titles, or LinkedIn URLs.</t>
  </si>
  <si>
    <t>3. Cite the source</t>
  </si>
  <si>
    <t>Add a Research Sources row for every research-backed account/contact update. Mark unverified information explicitly.</t>
  </si>
  <si>
    <t>4. Qualify the opportunity</t>
  </si>
  <si>
    <t>Create an opportunity only after an India-specific use case is identified. INR value bands and close dates are planning inputs, not committed revenue.</t>
  </si>
  <si>
    <t>5. Log outreach</t>
  </si>
  <si>
    <t>Record approved outreach, next action, and deadline in Outreach &amp; Activities. The Automated flag detects overdue items.</t>
  </si>
  <si>
    <t>6. Weekly hygiene</t>
  </si>
  <si>
    <t>Review overdue flags, sources older than 90 days, account coverage, unverified roles, and India owner assignment. Re-verify changing titles before outreach.</t>
  </si>
  <si>
    <t>Data-quality rule</t>
  </si>
  <si>
    <t>“Verified - official source” means title/name was seen on the linked official company page on the stated date. It does not confirm a direct relationship or outreach permission.</t>
  </si>
  <si>
    <t>Privacy / compliance</t>
  </si>
  <si>
    <t>This workbook intentionally omits inferred or scraped personal contact details. Use approved company channels and your organization’s privacy/compliance policies before outreach.</t>
  </si>
  <si>
    <t>Controlled Lists</t>
  </si>
  <si>
    <t>Update list values only with CRM governance approval.</t>
  </si>
  <si>
    <t>Tier</t>
  </si>
  <si>
    <t>Activity Status</t>
  </si>
  <si>
    <t>Relationship Status</t>
  </si>
  <si>
    <t>Influence</t>
  </si>
  <si>
    <t>Unassigned</t>
  </si>
  <si>
    <t>Life Sciences BD - Global</t>
  </si>
  <si>
    <t>Warm</t>
  </si>
  <si>
    <t>Tier 3</t>
  </si>
  <si>
    <t>Active Dialogue</t>
  </si>
  <si>
    <t>Overdue</t>
  </si>
  <si>
    <t>Partner</t>
  </si>
  <si>
    <t>End User</t>
  </si>
  <si>
    <t>Clinical Solutions</t>
  </si>
  <si>
    <t>On Hold</t>
  </si>
  <si>
    <t>Dormant</t>
  </si>
  <si>
    <t>Diagnostics / Imaging</t>
  </si>
  <si>
    <t>Blocker</t>
  </si>
  <si>
    <t>Closed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</si>
</sst>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9">
    <font>
      <sz val="11"/>
      <name val="Carlito"/>
    </font>
    <font>
      <sz val="10"/>
      <color rgb="FF222222"/>
      <name val="Arial"/>
    </font>
    <font>
      <b/>
      <sz val="10"/>
      <color rgb="FFF8FAFC"/>
      <name val="Aptos"/>
    </font>
    <font>
      <sz val="10"/>
      <color rgb="FFF8FAFC"/>
      <name val="Aptos"/>
    </font>
    <font>
      <b/>
      <sz val="16"/>
      <color rgb="FFF8FAFC"/>
      <name val="Aptos Display"/>
    </font>
    <font>
      <i/>
      <sz val="10"/>
      <color rgb="FF94A3B8"/>
      <name val="Aptos"/>
    </font>
    <font>
      <b/>
      <sz val="10"/>
      <color rgb="FF94A3B8"/>
      <name val="Aptos"/>
    </font>
    <font>
      <b/>
      <sz val="12"/>
      <color rgb="FFF8FAFC"/>
      <name val="Aptos Display"/>
    </font>
    <font>
      <b/>
      <sz val="12"/>
      <color rgb="FF0B1926"/>
      <name val="Aptos Display"/>
    </font>
  </fonts>
  <fills count="10">
    <fill>
      <patternFill patternType="none"/>
    </fill>
    <fill>
      <patternFill patternType="gray125"/>
    </fill>
    <fill>
      <patternFill patternType="solid">
        <fgColor rgb="FF0D1E2D"/>
      </patternFill>
    </fill>
    <fill>
      <patternFill patternType="solid">
        <fgColor rgb="FF0B1926"/>
      </patternFill>
    </fill>
    <fill>
      <patternFill patternType="solid">
        <fgColor rgb="FF143145"/>
      </patternFill>
    </fill>
    <fill>
      <patternFill patternType="solid">
        <fgColor rgb="FF11283A"/>
      </patternFill>
    </fill>
    <fill>
      <patternFill patternType="solid">
        <fgColor rgb="FFFF6B6B"/>
      </patternFill>
    </fill>
    <fill>
      <patternFill patternType="solid">
        <fgColor rgb="FF0F766E"/>
      </patternFill>
    </fill>
    <fill>
      <patternFill patternType="solid">
        <fgColor rgb="FF462B35"/>
      </patternFill>
    </fill>
    <fill>
      <patternFill patternType="solid">
        <fgColor rgb="FF102B3C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8C95"/>
      </bottom>
      <diagonal/>
    </border>
    <border>
      <left/>
      <right/>
      <top/>
      <bottom style="medium">
        <color rgb="FFFF6B6B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24445A"/>
      </bottom>
      <diagonal/>
    </border>
    <border>
      <left/>
      <right/>
      <top style="thin">
        <color rgb="FFD9E2F3"/>
      </top>
      <bottom style="thin">
        <color rgb="FF24445A"/>
      </bottom>
      <diagonal/>
    </border>
    <border>
      <left style="thin">
        <color rgb="FFFFFFFF"/>
      </left>
      <right style="thin">
        <color rgb="FFFFFFFF"/>
      </right>
      <top style="thin">
        <color rgb="FFD9E2F3"/>
      </top>
      <bottom style="thin">
        <color rgb="FF24445A"/>
      </bottom>
      <diagonal/>
    </border>
    <border>
      <left style="thin">
        <color rgb="FFFFFFFF"/>
      </left>
      <right style="thin">
        <color rgb="FFD9E2F3"/>
      </right>
      <top style="thin">
        <color rgb="FFD9E2F3"/>
      </top>
      <bottom style="thin">
        <color rgb="FF24445A"/>
      </bottom>
      <diagonal/>
    </border>
    <border>
      <left style="thin">
        <color rgb="FFD9E2F3"/>
      </left>
      <right style="thin">
        <color rgb="FFD9E2F3"/>
      </right>
      <top style="thin">
        <color rgb="FF24445A"/>
      </top>
      <bottom style="thin">
        <color rgb="FF24445A"/>
      </bottom>
      <diagonal/>
    </border>
    <border>
      <left/>
      <right/>
      <top style="thin">
        <color rgb="FF24445A"/>
      </top>
      <bottom style="thin">
        <color rgb="FF24445A"/>
      </bottom>
      <diagonal/>
    </border>
    <border>
      <left/>
      <right style="thin">
        <color rgb="FFD9E2F3"/>
      </right>
      <top style="thin">
        <color rgb="FF24445A"/>
      </top>
      <bottom style="thin">
        <color rgb="FF24445A"/>
      </bottom>
      <diagonal/>
    </border>
    <border>
      <left style="thin">
        <color rgb="FFD9E2F3"/>
      </left>
      <right/>
      <top style="thin">
        <color rgb="FF24445A"/>
      </top>
      <bottom style="thin">
        <color rgb="FF24445A"/>
      </bottom>
      <diagonal/>
    </border>
    <border>
      <left style="thin">
        <color rgb="FFFFFFFF"/>
      </left>
      <right style="thin">
        <color rgb="FFFFFFFF"/>
      </right>
      <top style="thin">
        <color rgb="FF24445A"/>
      </top>
      <bottom style="thin">
        <color rgb="FF24445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4445A"/>
      </bottom>
      <diagonal/>
    </border>
    <border>
      <left style="thin">
        <color rgb="FFFFFFFF"/>
      </left>
      <right/>
      <top style="thin">
        <color rgb="FF24445A"/>
      </top>
      <bottom style="thin">
        <color rgb="FF24445A"/>
      </bottom>
      <diagonal/>
    </border>
    <border>
      <left/>
      <right style="thin">
        <color rgb="FFFFFFFF"/>
      </right>
      <top style="thin">
        <color rgb="FF24445A"/>
      </top>
      <bottom style="thin">
        <color rgb="FF24445A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/>
    </xf>
    <xf numFmtId="0" fontId="7" fillId="4" borderId="7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3" fillId="5" borderId="9" xfId="0" applyFont="1" applyFill="1" applyBorder="1" applyAlignment="1">
      <alignment vertical="center"/>
    </xf>
    <xf numFmtId="0" fontId="8" fillId="6" borderId="7" xfId="0" applyFont="1" applyFill="1" applyBorder="1" applyAlignment="1">
      <alignment horizontal="right" vertical="center"/>
    </xf>
    <xf numFmtId="9" fontId="7" fillId="7" borderId="7" xfId="0" applyNumberFormat="1" applyFont="1" applyFill="1" applyBorder="1" applyAlignment="1">
      <alignment horizontal="right" vertical="center"/>
    </xf>
    <xf numFmtId="0" fontId="7" fillId="7" borderId="7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vertical="center"/>
    </xf>
    <xf numFmtId="0" fontId="2" fillId="4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vertical="center"/>
    </xf>
    <xf numFmtId="164" fontId="3" fillId="2" borderId="8" xfId="0" applyNumberFormat="1" applyFont="1" applyFill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164" fontId="3" fillId="5" borderId="8" xfId="0" applyNumberFormat="1" applyFont="1" applyFill="1" applyBorder="1" applyAlignment="1">
      <alignment vertical="center"/>
    </xf>
    <xf numFmtId="165" fontId="3" fillId="2" borderId="8" xfId="0" applyNumberFormat="1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165" fontId="3" fillId="5" borderId="8" xfId="0" applyNumberFormat="1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164" fontId="3" fillId="2" borderId="13" xfId="0" applyNumberFormat="1" applyFont="1" applyFill="1" applyBorder="1" applyAlignment="1">
      <alignment vertical="center"/>
    </xf>
    <xf numFmtId="164" fontId="3" fillId="5" borderId="13" xfId="0" applyNumberFormat="1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3" fillId="9" borderId="8" xfId="0" applyFont="1" applyFill="1" applyBorder="1" applyAlignment="1">
      <alignment vertical="center"/>
    </xf>
    <xf numFmtId="9" fontId="2" fillId="7" borderId="14" xfId="0" applyNumberFormat="1" applyFont="1" applyFill="1" applyBorder="1" applyAlignment="1">
      <alignment horizontal="right" vertical="center"/>
    </xf>
    <xf numFmtId="0" fontId="2" fillId="9" borderId="8" xfId="0" applyFont="1" applyFill="1" applyBorder="1" applyAlignment="1">
      <alignment vertical="center"/>
    </xf>
    <xf numFmtId="0" fontId="2" fillId="9" borderId="8" xfId="0" applyFont="1" applyFill="1" applyBorder="1" applyAlignment="1">
      <alignment horizontal="right" vertical="center"/>
    </xf>
    <xf numFmtId="165" fontId="2" fillId="7" borderId="8" xfId="0" applyNumberFormat="1" applyFont="1" applyFill="1" applyBorder="1" applyAlignment="1">
      <alignment horizontal="right" vertical="center"/>
    </xf>
    <xf numFmtId="0" fontId="2" fillId="7" borderId="8" xfId="0" applyFont="1" applyFill="1" applyBorder="1" applyAlignment="1">
      <alignment vertical="center"/>
    </xf>
    <xf numFmtId="9" fontId="2" fillId="7" borderId="8" xfId="0" applyNumberFormat="1" applyFont="1" applyFill="1" applyBorder="1" applyAlignment="1">
      <alignment horizontal="right" vertical="center"/>
    </xf>
    <xf numFmtId="0" fontId="2" fillId="9" borderId="14" xfId="0" applyFont="1" applyFill="1" applyBorder="1" applyAlignment="1">
      <alignment vertical="center"/>
    </xf>
    <xf numFmtId="0" fontId="2" fillId="8" borderId="14" xfId="0" applyFont="1" applyFill="1" applyBorder="1" applyAlignment="1">
      <alignment vertical="center"/>
    </xf>
    <xf numFmtId="0" fontId="2" fillId="4" borderId="7" xfId="0" applyFont="1" applyFill="1" applyBorder="1" applyAlignment="1">
      <alignment vertical="top" wrapText="1"/>
    </xf>
    <xf numFmtId="0" fontId="3" fillId="5" borderId="7" xfId="0" applyFont="1" applyFill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3" fillId="5" borderId="9" xfId="0" applyFont="1" applyFill="1" applyBorder="1" applyAlignment="1">
      <alignment vertical="top" wrapText="1"/>
    </xf>
  </cellXfs>
  <cellStyles count="1">
    <cellStyle name="Normal" xfId="0" builtinId="0"/>
  </cellStyles>
  <dxfs count="5">
    <dxf>
      <font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Leads by sector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Contacts</c:v>
          </c:tx>
          <c:invertIfNegative val="1"/>
          <c:cat>
            <c:strRef>
              <c:f>Dashboard!$D$6:$D$11</c:f>
              <c:strCache>
                <c:ptCount val="6"/>
                <c:pt idx="0">
                  <c:v>Pharma</c:v>
                </c:pt>
                <c:pt idx="1">
                  <c:v>Biotech</c:v>
                </c:pt>
                <c:pt idx="2">
                  <c:v>Diagnostics</c:v>
                </c:pt>
                <c:pt idx="3">
                  <c:v>Imaging &amp; MedTech</c:v>
                </c:pt>
                <c:pt idx="4">
                  <c:v>Digital Health</c:v>
                </c:pt>
                <c:pt idx="5">
                  <c:v>Clinical Research</c:v>
                </c:pt>
              </c:strCache>
            </c:strRef>
          </c:cat>
          <c:val>
            <c:numRef>
              <c:f>Dashboard!$E$6:$E$11</c:f>
              <c:numCache>
                <c:formatCode>General</c:formatCode>
                <c:ptCount val="6"/>
                <c:pt idx="0">
                  <c:v>88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8-4D30-A591-57F407BB9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Leads by seniority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Contacts</c:v>
          </c:tx>
          <c:invertIfNegative val="1"/>
          <c:cat>
            <c:strRef>
              <c:f>Dashboard!$D$15:$D$20</c:f>
              <c:strCache>
                <c:ptCount val="6"/>
                <c:pt idx="0">
                  <c:v>C-suite</c:v>
                </c:pt>
                <c:pt idx="1">
                  <c:v>EVP/SVP</c:v>
                </c:pt>
                <c:pt idx="2">
                  <c:v>VP</c:v>
                </c:pt>
                <c:pt idx="3">
                  <c:v>Director</c:v>
                </c:pt>
                <c:pt idx="4">
                  <c:v>Global Head</c:v>
                </c:pt>
                <c:pt idx="5">
                  <c:v>Business Unit Head</c:v>
                </c:pt>
              </c:strCache>
            </c:strRef>
          </c:cat>
          <c:val>
            <c:numRef>
              <c:f>Dashboard!$E$15:$E$20</c:f>
              <c:numCache>
                <c:formatCode>General</c:formatCode>
                <c:ptCount val="6"/>
                <c:pt idx="0">
                  <c:v>40</c:v>
                </c:pt>
                <c:pt idx="1">
                  <c:v>39</c:v>
                </c:pt>
                <c:pt idx="2">
                  <c:v>0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3-430C-98F9-B0068C22A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Leads by solution interest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Contacts</c:v>
          </c:tx>
          <c:invertIfNegative val="1"/>
          <c:cat>
            <c:strRef>
              <c:f>Dashboard!$G$15:$G$18</c:f>
              <c:strCache>
                <c:ptCount val="4"/>
                <c:pt idx="0">
                  <c:v>Clinical trials / imaging biomarkers</c:v>
                </c:pt>
                <c:pt idx="1">
                  <c:v>Imaging AI integration</c:v>
                </c:pt>
                <c:pt idx="2">
                  <c:v>Digital health / AI platform</c:v>
                </c:pt>
                <c:pt idx="3">
                  <c:v>RWE / commercial evidence</c:v>
                </c:pt>
              </c:strCache>
            </c:strRef>
          </c:cat>
          <c:val>
            <c:numRef>
              <c:f>Dashboard!$H$15:$H$18</c:f>
              <c:numCache>
                <c:formatCode>General</c:formatCode>
                <c:ptCount val="4"/>
                <c:pt idx="0">
                  <c:v>7</c:v>
                </c:pt>
                <c:pt idx="1">
                  <c:v>0</c:v>
                </c:pt>
                <c:pt idx="2">
                  <c:v>4</c:v>
                </c:pt>
                <c:pt idx="3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8-4A38-ABE9-BCBE5BEC0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Opportunities by stage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Opportunities</c:v>
          </c:tx>
          <c:invertIfNegative val="1"/>
          <c:cat>
            <c:strRef>
              <c:f>Dashboard!$J$6:$J$11</c:f>
              <c:strCache>
                <c:ptCount val="6"/>
                <c:pt idx="0">
                  <c:v>Research</c:v>
                </c:pt>
                <c:pt idx="1">
                  <c:v>Qualified</c:v>
                </c:pt>
                <c:pt idx="2">
                  <c:v>Discovery</c:v>
                </c:pt>
                <c:pt idx="3">
                  <c:v>Proposal</c:v>
                </c:pt>
                <c:pt idx="4">
                  <c:v>Negotiation</c:v>
                </c:pt>
                <c:pt idx="5">
                  <c:v>Closed Won</c:v>
                </c:pt>
              </c:strCache>
            </c:strRef>
          </c:cat>
          <c:val>
            <c:numRef>
              <c:f>Dashboard!$K$6:$K$11</c:f>
              <c:numCache>
                <c:formatCode>General</c:formatCode>
                <c:ptCount val="6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9-4853-A3D2-6FCC69ED5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</xdr:row>
      <xdr:rowOff>0</xdr:rowOff>
    </xdr:from>
    <xdr:ext cx="4191000" cy="21907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19</xdr:row>
      <xdr:rowOff>0</xdr:rowOff>
    </xdr:from>
    <xdr:ext cx="4191000" cy="219075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20</xdr:col>
      <xdr:colOff>0</xdr:colOff>
      <xdr:row>4</xdr:row>
      <xdr:rowOff>0</xdr:rowOff>
    </xdr:from>
    <xdr:ext cx="4191000" cy="219075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20</xdr:col>
      <xdr:colOff>0</xdr:colOff>
      <xdr:row>19</xdr:row>
      <xdr:rowOff>0</xdr:rowOff>
    </xdr:from>
    <xdr:ext cx="4191000" cy="219075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ountsTable" displayName="AccountsTable" ref="A5:P30" totalsRowShown="0">
  <tableColumns count="16">
    <tableColumn id="1" xr3:uid="{00000000-0010-0000-0000-000001000000}" name="Account ID"/>
    <tableColumn id="2" xr3:uid="{00000000-0010-0000-0000-000002000000}" name="Company name"/>
    <tableColumn id="3" xr3:uid="{00000000-0010-0000-0000-000003000000}" name="Sector"/>
    <tableColumn id="4" xr3:uid="{00000000-0010-0000-0000-000004000000}" name="Sub-sector"/>
    <tableColumn id="5" xr3:uid="{00000000-0010-0000-0000-000005000000}" name="Headquarters"/>
    <tableColumn id="6" xr3:uid="{00000000-0010-0000-0000-000006000000}" name="Priority markets"/>
    <tableColumn id="7" xr3:uid="{00000000-0010-0000-0000-000007000000}" name="Company size / revenue band"/>
    <tableColumn id="8" xr3:uid="{00000000-0010-0000-0000-000008000000}" name="Relevant therapeutic/device focus"/>
    <tableColumn id="9" xr3:uid="{00000000-0010-0000-0000-000009000000}" name="Existing Qure.ai relevance / use case"/>
    <tableColumn id="10" xr3:uid="{00000000-0010-0000-0000-00000A000000}" name="Strategic tier"/>
    <tableColumn id="11" xr3:uid="{00000000-0010-0000-0000-00000B000000}" name="Account owner"/>
    <tableColumn id="12" xr3:uid="{00000000-0010-0000-0000-00000C000000}" name="Relationship status"/>
    <tableColumn id="13" xr3:uid="{00000000-0010-0000-0000-00000D000000}" name="Account-level opportunity hypothesis"/>
    <tableColumn id="14" xr3:uid="{00000000-0010-0000-0000-00000E000000}" name="Source URL"/>
    <tableColumn id="15" xr3:uid="{00000000-0010-0000-0000-00000F000000}" name="Research date"/>
    <tableColumn id="16" xr3:uid="{00000000-0010-0000-0000-000010000000}" name="Coverage 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actsTable" displayName="ContactsTable" ref="A5:S107" totalsRowShown="0">
  <tableColumns count="19">
    <tableColumn id="1" xr3:uid="{00000000-0010-0000-0100-000001000000}" name="Contact ID"/>
    <tableColumn id="2" xr3:uid="{00000000-0010-0000-0100-000002000000}" name="Account ID"/>
    <tableColumn id="3" xr3:uid="{00000000-0010-0000-0100-000003000000}" name="Full name"/>
    <tableColumn id="4" xr3:uid="{00000000-0010-0000-0100-000004000000}" name="Current job title"/>
    <tableColumn id="5" xr3:uid="{00000000-0010-0000-0100-000005000000}" name="Function"/>
    <tableColumn id="6" xr3:uid="{00000000-0010-0000-0100-000006000000}" name="Seniority"/>
    <tableColumn id="7" xr3:uid="{00000000-0010-0000-0100-000007000000}" name="Geography"/>
    <tableColumn id="8" xr3:uid="{00000000-0010-0000-0100-000008000000}" name="Verified public profile URL"/>
    <tableColumn id="9" xr3:uid="{00000000-0010-0000-0100-000009000000}" name="Public work email"/>
    <tableColumn id="10" xr3:uid="{00000000-0010-0000-0100-00000A000000}" name="Relevance score (1–5)"/>
    <tableColumn id="11" xr3:uid="{00000000-0010-0000-0100-00000B000000}" name="Buying influence"/>
    <tableColumn id="12" xr3:uid="{00000000-0010-0000-0100-00000C000000}" name="Likely Qure.ai use case"/>
    <tableColumn id="13" xr3:uid="{00000000-0010-0000-0100-00000D000000}" name="Personalisation / research notes"/>
    <tableColumn id="14" xr3:uid="{00000000-0010-0000-0100-00000E000000}" name="Source URL"/>
    <tableColumn id="15" xr3:uid="{00000000-0010-0000-0100-00000F000000}" name="Source type"/>
    <tableColumn id="16" xr3:uid="{00000000-0010-0000-0100-000010000000}" name="Verification status"/>
    <tableColumn id="17" xr3:uid="{00000000-0010-0000-0100-000011000000}" name="Last verified date"/>
    <tableColumn id="18" xr3:uid="{00000000-0010-0000-0100-000012000000}" name="Lead score"/>
    <tableColumn id="19" xr3:uid="{00000000-0010-0000-0100-000013000000}" name="Account se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pportunitiesTable" displayName="OpportunitiesTable" ref="A5:O30" totalsRowShown="0">
  <tableColumns count="15">
    <tableColumn id="1" xr3:uid="{00000000-0010-0000-0200-000001000000}" name="Opportunity ID"/>
    <tableColumn id="2" xr3:uid="{00000000-0010-0000-0200-000002000000}" name="Account ID"/>
    <tableColumn id="3" xr3:uid="{00000000-0010-0000-0200-000003000000}" name="Contact ID"/>
    <tableColumn id="4" xr3:uid="{00000000-0010-0000-0200-000004000000}" name="Company"/>
    <tableColumn id="5" xr3:uid="{00000000-0010-0000-0200-000005000000}" name="Primary contact"/>
    <tableColumn id="6" xr3:uid="{00000000-0010-0000-0200-000006000000}" name="Use case"/>
    <tableColumn id="7" xr3:uid="{00000000-0010-0000-0200-000007000000}" name="Estimated value band"/>
    <tableColumn id="8" xr3:uid="{00000000-0010-0000-0200-000008000000}" name="Stage"/>
    <tableColumn id="9" xr3:uid="{00000000-0010-0000-0200-000009000000}" name="Probability"/>
    <tableColumn id="10" xr3:uid="{00000000-0010-0000-0200-00000A000000}" name="Expected close date"/>
    <tableColumn id="11" xr3:uid="{00000000-0010-0000-0200-00000B000000}" name="Competition / alternatives"/>
    <tableColumn id="12" xr3:uid="{00000000-0010-0000-0200-00000C000000}" name="Key stakeholder map"/>
    <tableColumn id="13" xr3:uid="{00000000-0010-0000-0200-00000D000000}" name="Next best action"/>
    <tableColumn id="14" xr3:uid="{00000000-0010-0000-0200-00000E000000}" name="Risks and dependencies"/>
    <tableColumn id="15" xr3:uid="{00000000-0010-0000-0200-00000F000000}" name="Activity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tivitiesTable" displayName="ActivitiesTable" ref="A5:K35" totalsRowShown="0">
  <tableColumns count="11">
    <tableColumn id="1" xr3:uid="{00000000-0010-0000-0300-000001000000}" name="Date"/>
    <tableColumn id="2" xr3:uid="{00000000-0010-0000-0300-000002000000}" name="Activity type"/>
    <tableColumn id="3" xr3:uid="{00000000-0010-0000-0300-000003000000}" name="Owner"/>
    <tableColumn id="4" xr3:uid="{00000000-0010-0000-0300-000004000000}" name="Target contact ID"/>
    <tableColumn id="5" xr3:uid="{00000000-0010-0000-0300-000005000000}" name="Target contact"/>
    <tableColumn id="6" xr3:uid="{00000000-0010-0000-0300-000006000000}" name="Outcome"/>
    <tableColumn id="7" xr3:uid="{00000000-0010-0000-0300-000007000000}" name="Next action"/>
    <tableColumn id="8" xr3:uid="{00000000-0010-0000-0300-000008000000}" name="Next-action date"/>
    <tableColumn id="9" xr3:uid="{00000000-0010-0000-0300-000009000000}" name="Follow-up status"/>
    <tableColumn id="10" xr3:uid="{00000000-0010-0000-0300-00000A000000}" name="Meeting notes / context"/>
    <tableColumn id="11" xr3:uid="{00000000-0010-0000-0300-00000B000000}" name="Automated 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Table" displayName="SourcesTable" ref="A5:G132" totalsRowShown="0">
  <tableColumns count="7">
    <tableColumn id="1" xr3:uid="{00000000-0010-0000-0400-000001000000}" name="Source URL"/>
    <tableColumn id="2" xr3:uid="{00000000-0010-0000-0400-000002000000}" name="Source type"/>
    <tableColumn id="3" xr3:uid="{00000000-0010-0000-0400-000003000000}" name="Linked account ID"/>
    <tableColumn id="4" xr3:uid="{00000000-0010-0000-0400-000004000000}" name="Linked contact ID"/>
    <tableColumn id="5" xr3:uid="{00000000-0010-0000-0400-000005000000}" name="Extracted information"/>
    <tableColumn id="6" xr3:uid="{00000000-0010-0000-0400-000006000000}" name="Date accessed"/>
    <tableColumn id="7" xr3:uid="{00000000-0010-0000-0400-000007000000}" name="Verification / conf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B6B"/>
  </sheetPr>
  <dimension ref="A1:AB33"/>
  <sheetViews>
    <sheetView showGridLines="0" workbookViewId="0"/>
  </sheetViews>
  <sheetFormatPr defaultRowHeight="13.8"/>
  <cols>
    <col min="1" max="1" width="36.59765625" customWidth="1"/>
    <col min="2" max="2" width="15" customWidth="1"/>
    <col min="3" max="3" width="4" customWidth="1"/>
    <col min="4" max="4" width="23" customWidth="1"/>
    <col min="5" max="5" width="14" customWidth="1"/>
    <col min="6" max="6" width="4" customWidth="1"/>
    <col min="7" max="7" width="34" customWidth="1"/>
    <col min="8" max="8" width="15" customWidth="1"/>
    <col min="9" max="9" width="4" customWidth="1"/>
    <col min="10" max="10" width="20" customWidth="1"/>
    <col min="11" max="11" width="14" customWidth="1"/>
    <col min="12" max="12" width="4" customWidth="1"/>
    <col min="13" max="15" width="18" customWidth="1"/>
  </cols>
  <sheetData>
    <row r="1" spans="1:28" ht="28.0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9.9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>
      <c r="A4" s="5"/>
      <c r="B4" s="5"/>
      <c r="C4" s="5"/>
      <c r="D4" s="10" t="s">
        <v>2</v>
      </c>
      <c r="E4" s="10"/>
      <c r="F4" s="10"/>
      <c r="G4" s="10" t="s">
        <v>3</v>
      </c>
      <c r="H4" s="10"/>
      <c r="I4" s="10"/>
      <c r="J4" s="10" t="s">
        <v>4</v>
      </c>
      <c r="K4" s="1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25.95" customHeight="1">
      <c r="A5" s="11" t="s">
        <v>5</v>
      </c>
      <c r="B5" s="11" t="s">
        <v>6</v>
      </c>
      <c r="C5" s="9"/>
      <c r="D5" s="12" t="s">
        <v>7</v>
      </c>
      <c r="E5" s="12" t="s">
        <v>8</v>
      </c>
      <c r="F5" s="9"/>
      <c r="G5" s="12" t="s">
        <v>9</v>
      </c>
      <c r="H5" s="12" t="s">
        <v>8</v>
      </c>
      <c r="I5" s="9"/>
      <c r="J5" s="12" t="s">
        <v>10</v>
      </c>
      <c r="K5" s="13" t="s">
        <v>11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21" customHeight="1">
      <c r="A6" s="14" t="s">
        <v>12</v>
      </c>
      <c r="B6" s="15">
        <f>COUNTA(Accounts!$A$6:$A$30)</f>
        <v>25</v>
      </c>
      <c r="C6" s="16"/>
      <c r="D6" s="16" t="s">
        <v>13</v>
      </c>
      <c r="E6" s="17">
        <f>COUNTIF(Contacts!$S$6:$S$110,D6)</f>
        <v>88</v>
      </c>
      <c r="F6" s="16"/>
      <c r="G6" s="16" t="s">
        <v>14</v>
      </c>
      <c r="H6" s="17">
        <f>COUNTIF(Contacts!$G$6:$G$110,G6)</f>
        <v>0</v>
      </c>
      <c r="I6" s="16"/>
      <c r="J6" s="16" t="s">
        <v>15</v>
      </c>
      <c r="K6" s="17">
        <f>COUNTIF(Opportunities!$H$6:$H$30,J6)</f>
        <v>25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21" customHeight="1">
      <c r="A7" s="14" t="s">
        <v>16</v>
      </c>
      <c r="B7" s="15">
        <f>COUNTA(Contacts!$A$6:$A$110)</f>
        <v>100</v>
      </c>
      <c r="C7" s="18"/>
      <c r="D7" s="18" t="s">
        <v>17</v>
      </c>
      <c r="E7" s="19">
        <f>COUNTIF(Contacts!$S$6:$S$110,D7)</f>
        <v>12</v>
      </c>
      <c r="F7" s="18"/>
      <c r="G7" s="18" t="s">
        <v>18</v>
      </c>
      <c r="H7" s="19">
        <f>COUNTIF(Contacts!$G$6:$G$110,G7)</f>
        <v>100</v>
      </c>
      <c r="I7" s="18"/>
      <c r="J7" s="18" t="s">
        <v>19</v>
      </c>
      <c r="K7" s="19">
        <f>COUNTIF(Opportunities!$H$6:$H$30,J7)</f>
        <v>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21" customHeight="1">
      <c r="A8" s="14" t="s">
        <v>20</v>
      </c>
      <c r="B8" s="20">
        <f>COUNTIF(Contacts!$R$6:$R$110,"&gt;=4.5")</f>
        <v>11</v>
      </c>
      <c r="C8" s="16"/>
      <c r="D8" s="16" t="s">
        <v>21</v>
      </c>
      <c r="E8" s="17">
        <f>COUNTIF(Contacts!$S$6:$S$110,D8)</f>
        <v>0</v>
      </c>
      <c r="F8" s="16"/>
      <c r="G8" s="16" t="s">
        <v>22</v>
      </c>
      <c r="H8" s="17">
        <f>COUNTIF(Contacts!$G$6:$G$110,G8)</f>
        <v>0</v>
      </c>
      <c r="I8" s="16"/>
      <c r="J8" s="16" t="s">
        <v>23</v>
      </c>
      <c r="K8" s="17">
        <f>COUNTIF(Opportunities!$H$6:$H$30,J8)</f>
        <v>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21" customHeight="1">
      <c r="A9" s="14" t="s">
        <v>24</v>
      </c>
      <c r="B9" s="15">
        <f>COUNTIF(Accounts!$J$6:$J$30,"Tier 1")</f>
        <v>15</v>
      </c>
      <c r="C9" s="18"/>
      <c r="D9" s="18" t="s">
        <v>25</v>
      </c>
      <c r="E9" s="19">
        <f>COUNTIF(Contacts!$S$6:$S$110,D9)</f>
        <v>0</v>
      </c>
      <c r="F9" s="18"/>
      <c r="G9" s="18" t="s">
        <v>26</v>
      </c>
      <c r="H9" s="19">
        <f>COUNTIF(Contacts!$G$6:$G$110,G9)</f>
        <v>0</v>
      </c>
      <c r="I9" s="18"/>
      <c r="J9" s="18" t="s">
        <v>27</v>
      </c>
      <c r="K9" s="19">
        <f>COUNTIF(Opportunities!$H$6:$H$30,J9)</f>
        <v>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21" customHeight="1">
      <c r="A10" s="14" t="s">
        <v>28</v>
      </c>
      <c r="B10" s="15">
        <f>COUNTIF(Accounts!$P$6:$P$30,"&gt;0")</f>
        <v>12</v>
      </c>
      <c r="C10" s="16"/>
      <c r="D10" s="16" t="s">
        <v>29</v>
      </c>
      <c r="E10" s="17">
        <f>COUNTIF(Contacts!$S$6:$S$110,D10)</f>
        <v>0</v>
      </c>
      <c r="F10" s="16"/>
      <c r="G10" s="16"/>
      <c r="H10" s="16"/>
      <c r="I10" s="16"/>
      <c r="J10" s="16" t="s">
        <v>30</v>
      </c>
      <c r="K10" s="17">
        <f>COUNTIF(Opportunities!$H$6:$H$30,J10)</f>
        <v>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21" customHeight="1">
      <c r="A11" s="14" t="s">
        <v>31</v>
      </c>
      <c r="B11" s="15">
        <f ca="1">COUNTIF('Outreach &amp; Activities'!$K$6:$K$35,"OVERDUE")</f>
        <v>0</v>
      </c>
      <c r="C11" s="18"/>
      <c r="D11" s="18" t="s">
        <v>32</v>
      </c>
      <c r="E11" s="19">
        <f>COUNTIF(Contacts!$S$6:$S$110,D11)</f>
        <v>0</v>
      </c>
      <c r="F11" s="18"/>
      <c r="G11" s="18"/>
      <c r="H11" s="18"/>
      <c r="I11" s="18"/>
      <c r="J11" s="18" t="s">
        <v>33</v>
      </c>
      <c r="K11" s="19">
        <f>COUNTIF(Opportunities!$H$6:$H$30,J11)</f>
        <v>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21" customHeight="1">
      <c r="A12" s="14" t="s">
        <v>34</v>
      </c>
      <c r="B12" s="21">
        <f>COUNTIF('Research Sources'!$F$6:$F$132,"&gt;="&amp;DATE(2026,7,2))/COUNTA('Research Sources'!$A$6:$A$132)</f>
        <v>1</v>
      </c>
      <c r="C12" s="16"/>
      <c r="D12" s="16"/>
      <c r="E12" s="16"/>
      <c r="F12" s="16"/>
      <c r="G12" s="16"/>
      <c r="H12" s="16"/>
      <c r="I12" s="16"/>
      <c r="J12" s="16"/>
      <c r="K12" s="1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21" customHeight="1">
      <c r="A13" s="14" t="s">
        <v>35</v>
      </c>
      <c r="B13" s="22">
        <f>COUNTIF(Contacts!$P$6:$P$110,"Verified - official source")</f>
        <v>82</v>
      </c>
      <c r="C13" s="16"/>
      <c r="D13" s="23" t="s">
        <v>36</v>
      </c>
      <c r="E13" s="16"/>
      <c r="F13" s="16"/>
      <c r="G13" s="23" t="s">
        <v>37</v>
      </c>
      <c r="H13" s="16"/>
      <c r="I13" s="16"/>
      <c r="J13" s="16"/>
      <c r="K13" s="1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25.95" customHeight="1">
      <c r="A14" s="24"/>
      <c r="B14" s="16"/>
      <c r="C14" s="16"/>
      <c r="D14" s="25" t="s">
        <v>38</v>
      </c>
      <c r="E14" s="25" t="s">
        <v>8</v>
      </c>
      <c r="F14" s="16"/>
      <c r="G14" s="25" t="s">
        <v>39</v>
      </c>
      <c r="H14" s="25" t="s">
        <v>8</v>
      </c>
      <c r="I14" s="16"/>
      <c r="J14" s="16"/>
      <c r="K14" s="1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21" customHeight="1">
      <c r="A15" s="26"/>
      <c r="B15" s="18"/>
      <c r="C15" s="18"/>
      <c r="D15" s="18" t="s">
        <v>40</v>
      </c>
      <c r="E15" s="18">
        <f>COUNTIF(Contacts!$F$6:$F$110,D15)</f>
        <v>40</v>
      </c>
      <c r="F15" s="18"/>
      <c r="G15" s="18" t="s">
        <v>41</v>
      </c>
      <c r="H15" s="18">
        <f>COUNTIF(Contacts!$L$6:$L$110,G15)</f>
        <v>7</v>
      </c>
      <c r="I15" s="16"/>
      <c r="J15" s="16"/>
      <c r="K15" s="1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21" customHeight="1">
      <c r="A16" s="24"/>
      <c r="B16" s="16"/>
      <c r="C16" s="16"/>
      <c r="D16" s="16" t="s">
        <v>42</v>
      </c>
      <c r="E16" s="16">
        <f>COUNTIF(Contacts!$F$6:$F$110,D16)</f>
        <v>39</v>
      </c>
      <c r="F16" s="16"/>
      <c r="G16" s="16" t="s">
        <v>43</v>
      </c>
      <c r="H16" s="16">
        <f>COUNTIF(Contacts!$L$6:$L$110,G16)</f>
        <v>0</v>
      </c>
      <c r="I16" s="16"/>
      <c r="J16" s="16"/>
      <c r="K16" s="1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21" customHeight="1">
      <c r="A17" s="26"/>
      <c r="B17" s="18"/>
      <c r="C17" s="18"/>
      <c r="D17" s="18" t="s">
        <v>44</v>
      </c>
      <c r="E17" s="18">
        <f>COUNTIF(Contacts!$F$6:$F$110,D17)</f>
        <v>0</v>
      </c>
      <c r="F17" s="18"/>
      <c r="G17" s="18" t="s">
        <v>45</v>
      </c>
      <c r="H17" s="18">
        <f>COUNTIF(Contacts!$L$6:$L$110,G17)</f>
        <v>4</v>
      </c>
      <c r="I17" s="16"/>
      <c r="J17" s="16"/>
      <c r="K17" s="1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21" customHeight="1">
      <c r="A18" s="24"/>
      <c r="B18" s="16"/>
      <c r="C18" s="16"/>
      <c r="D18" s="16" t="s">
        <v>46</v>
      </c>
      <c r="E18" s="16">
        <f>COUNTIF(Contacts!$F$6:$F$110,D18)</f>
        <v>21</v>
      </c>
      <c r="F18" s="16"/>
      <c r="G18" s="16" t="s">
        <v>47</v>
      </c>
      <c r="H18" s="16">
        <f>COUNTIF(Contacts!$L$6:$L$110,G18)</f>
        <v>89</v>
      </c>
      <c r="I18" s="16"/>
      <c r="J18" s="16"/>
      <c r="K18" s="1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21" customHeight="1">
      <c r="A19" s="26"/>
      <c r="B19" s="18"/>
      <c r="C19" s="18"/>
      <c r="D19" s="18" t="s">
        <v>48</v>
      </c>
      <c r="E19" s="18">
        <f>COUNTIF(Contacts!$F$6:$F$110,D19)</f>
        <v>0</v>
      </c>
      <c r="F19" s="16"/>
      <c r="G19" s="16"/>
      <c r="H19" s="16"/>
      <c r="I19" s="16"/>
      <c r="J19" s="16"/>
      <c r="K19" s="1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21" customHeight="1">
      <c r="A20" s="24"/>
      <c r="B20" s="16"/>
      <c r="C20" s="16"/>
      <c r="D20" s="16" t="s">
        <v>49</v>
      </c>
      <c r="E20" s="16">
        <f>COUNTIF(Contacts!$F$6:$F$110,D20)</f>
        <v>0</v>
      </c>
      <c r="F20" s="16"/>
      <c r="G20" s="16"/>
      <c r="H20" s="16"/>
      <c r="I20" s="16"/>
      <c r="J20" s="16"/>
      <c r="K20" s="1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</sheetData>
  <conditionalFormatting sqref="B11">
    <cfRule type="cellIs" dxfId="4" priority="1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B6B"/>
  </sheetPr>
  <dimension ref="A1:Z30"/>
  <sheetViews>
    <sheetView showGridLines="0" tabSelected="1" workbookViewId="0">
      <pane xSplit="2" ySplit="5" topLeftCell="E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3" customWidth="1"/>
    <col min="2" max="2" width="24" customWidth="1"/>
    <col min="3" max="3" width="16" customWidth="1"/>
    <col min="4" max="4" width="21" customWidth="1"/>
    <col min="5" max="5" width="20" customWidth="1"/>
    <col min="6" max="6" width="22" customWidth="1"/>
    <col min="7" max="7" width="21" customWidth="1"/>
    <col min="8" max="8" width="28" customWidth="1"/>
    <col min="9" max="9" width="31" customWidth="1"/>
    <col min="10" max="10" width="14" customWidth="1"/>
    <col min="11" max="11" width="23" customWidth="1"/>
    <col min="12" max="12" width="17" customWidth="1"/>
    <col min="13" max="13" width="42" customWidth="1"/>
    <col min="14" max="14" width="46" customWidth="1"/>
    <col min="15" max="16" width="14" customWidth="1"/>
  </cols>
  <sheetData>
    <row r="1" spans="1:26" ht="28.05" customHeight="1">
      <c r="A1" s="6" t="s">
        <v>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95" customHeight="1">
      <c r="A2" s="7" t="s">
        <v>51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>
      <c r="A5" s="27" t="s">
        <v>52</v>
      </c>
      <c r="B5" s="27" t="s">
        <v>53</v>
      </c>
      <c r="C5" s="27" t="s">
        <v>7</v>
      </c>
      <c r="D5" s="27" t="s">
        <v>54</v>
      </c>
      <c r="E5" s="27" t="s">
        <v>55</v>
      </c>
      <c r="F5" s="27" t="s">
        <v>56</v>
      </c>
      <c r="G5" s="27" t="s">
        <v>57</v>
      </c>
      <c r="H5" s="27" t="s">
        <v>58</v>
      </c>
      <c r="I5" s="27" t="s">
        <v>59</v>
      </c>
      <c r="J5" s="27" t="s">
        <v>60</v>
      </c>
      <c r="K5" s="27" t="s">
        <v>61</v>
      </c>
      <c r="L5" s="27" t="s">
        <v>62</v>
      </c>
      <c r="M5" s="27" t="s">
        <v>63</v>
      </c>
      <c r="N5" s="27" t="s">
        <v>64</v>
      </c>
      <c r="O5" s="27" t="s">
        <v>65</v>
      </c>
      <c r="P5" s="27" t="s">
        <v>66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95" customHeight="1">
      <c r="A6" s="28" t="s">
        <v>67</v>
      </c>
      <c r="B6" s="16" t="s">
        <v>68</v>
      </c>
      <c r="C6" s="16" t="s">
        <v>13</v>
      </c>
      <c r="D6" s="16" t="s">
        <v>69</v>
      </c>
      <c r="E6" s="16" t="s">
        <v>70</v>
      </c>
      <c r="F6" s="16" t="s">
        <v>71</v>
      </c>
      <c r="G6" s="16" t="s">
        <v>72</v>
      </c>
      <c r="H6" s="16" t="s">
        <v>73</v>
      </c>
      <c r="I6" s="16" t="s">
        <v>74</v>
      </c>
      <c r="J6" s="38" t="s">
        <v>75</v>
      </c>
      <c r="K6" s="39" t="s">
        <v>76</v>
      </c>
      <c r="L6" s="16" t="s">
        <v>77</v>
      </c>
      <c r="M6" s="16" t="s">
        <v>78</v>
      </c>
      <c r="N6" s="16" t="s">
        <v>79</v>
      </c>
      <c r="O6" s="29">
        <v>46295</v>
      </c>
      <c r="P6" s="40">
        <f>COUNTIF(Contacts!$B$6:$B$110,A6)/4</f>
        <v>3.75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95" customHeight="1">
      <c r="A7" s="30" t="s">
        <v>80</v>
      </c>
      <c r="B7" s="18" t="s">
        <v>81</v>
      </c>
      <c r="C7" s="18" t="s">
        <v>13</v>
      </c>
      <c r="D7" s="18" t="s">
        <v>82</v>
      </c>
      <c r="E7" s="18" t="s">
        <v>83</v>
      </c>
      <c r="F7" s="18" t="s">
        <v>84</v>
      </c>
      <c r="G7" s="18" t="s">
        <v>72</v>
      </c>
      <c r="H7" s="18" t="s">
        <v>85</v>
      </c>
      <c r="I7" s="18" t="s">
        <v>86</v>
      </c>
      <c r="J7" s="38" t="s">
        <v>75</v>
      </c>
      <c r="K7" s="39" t="s">
        <v>76</v>
      </c>
      <c r="L7" s="18" t="s">
        <v>77</v>
      </c>
      <c r="M7" s="18" t="s">
        <v>87</v>
      </c>
      <c r="N7" s="18" t="s">
        <v>88</v>
      </c>
      <c r="O7" s="31">
        <v>46295</v>
      </c>
      <c r="P7" s="40">
        <f>COUNTIF(Contacts!$B$6:$B$110,A7)/4</f>
        <v>2.5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95" customHeight="1">
      <c r="A8" s="28" t="s">
        <v>89</v>
      </c>
      <c r="B8" s="16" t="s">
        <v>90</v>
      </c>
      <c r="C8" s="16" t="s">
        <v>13</v>
      </c>
      <c r="D8" s="16" t="s">
        <v>69</v>
      </c>
      <c r="E8" s="16" t="s">
        <v>70</v>
      </c>
      <c r="F8" s="16" t="s">
        <v>91</v>
      </c>
      <c r="G8" s="16" t="s">
        <v>72</v>
      </c>
      <c r="H8" s="16" t="s">
        <v>92</v>
      </c>
      <c r="I8" s="16" t="s">
        <v>93</v>
      </c>
      <c r="J8" s="38" t="s">
        <v>75</v>
      </c>
      <c r="K8" s="39" t="s">
        <v>76</v>
      </c>
      <c r="L8" s="16" t="s">
        <v>77</v>
      </c>
      <c r="M8" s="16" t="s">
        <v>94</v>
      </c>
      <c r="N8" s="16" t="s">
        <v>95</v>
      </c>
      <c r="O8" s="29">
        <v>46295</v>
      </c>
      <c r="P8" s="40">
        <f>COUNTIF(Contacts!$B$6:$B$110,A8)/4</f>
        <v>1.25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95" customHeight="1">
      <c r="A9" s="30" t="s">
        <v>96</v>
      </c>
      <c r="B9" s="18" t="s">
        <v>97</v>
      </c>
      <c r="C9" s="18" t="s">
        <v>17</v>
      </c>
      <c r="D9" s="18" t="s">
        <v>98</v>
      </c>
      <c r="E9" s="18" t="s">
        <v>99</v>
      </c>
      <c r="F9" s="18" t="s">
        <v>84</v>
      </c>
      <c r="G9" s="18" t="s">
        <v>72</v>
      </c>
      <c r="H9" s="18" t="s">
        <v>100</v>
      </c>
      <c r="I9" s="18" t="s">
        <v>101</v>
      </c>
      <c r="J9" s="38" t="s">
        <v>75</v>
      </c>
      <c r="K9" s="39" t="s">
        <v>76</v>
      </c>
      <c r="L9" s="18" t="s">
        <v>77</v>
      </c>
      <c r="M9" s="18" t="s">
        <v>102</v>
      </c>
      <c r="N9" s="18" t="s">
        <v>103</v>
      </c>
      <c r="O9" s="31">
        <v>46295</v>
      </c>
      <c r="P9" s="40">
        <f>COUNTIF(Contacts!$B$6:$B$110,A9)/4</f>
        <v>3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95" customHeight="1">
      <c r="A10" s="28" t="s">
        <v>104</v>
      </c>
      <c r="B10" s="16" t="s">
        <v>105</v>
      </c>
      <c r="C10" s="16" t="s">
        <v>13</v>
      </c>
      <c r="D10" s="16" t="s">
        <v>69</v>
      </c>
      <c r="E10" s="16" t="s">
        <v>70</v>
      </c>
      <c r="F10" s="16" t="s">
        <v>84</v>
      </c>
      <c r="G10" s="16" t="s">
        <v>72</v>
      </c>
      <c r="H10" s="16" t="s">
        <v>106</v>
      </c>
      <c r="I10" s="16" t="s">
        <v>107</v>
      </c>
      <c r="J10" s="38" t="s">
        <v>75</v>
      </c>
      <c r="K10" s="39" t="s">
        <v>76</v>
      </c>
      <c r="L10" s="16" t="s">
        <v>77</v>
      </c>
      <c r="M10" s="16" t="s">
        <v>108</v>
      </c>
      <c r="N10" s="16" t="s">
        <v>109</v>
      </c>
      <c r="O10" s="29">
        <v>46295</v>
      </c>
      <c r="P10" s="40">
        <f>COUNTIF(Contacts!$B$6:$B$110,A10)/4</f>
        <v>4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95" customHeight="1">
      <c r="A11" s="30" t="s">
        <v>110</v>
      </c>
      <c r="B11" s="18" t="s">
        <v>111</v>
      </c>
      <c r="C11" s="18" t="s">
        <v>13</v>
      </c>
      <c r="D11" s="18" t="s">
        <v>69</v>
      </c>
      <c r="E11" s="18" t="s">
        <v>83</v>
      </c>
      <c r="F11" s="18" t="s">
        <v>84</v>
      </c>
      <c r="G11" s="18" t="s">
        <v>72</v>
      </c>
      <c r="H11" s="18" t="s">
        <v>112</v>
      </c>
      <c r="I11" s="18" t="s">
        <v>113</v>
      </c>
      <c r="J11" s="38" t="s">
        <v>75</v>
      </c>
      <c r="K11" s="39" t="s">
        <v>76</v>
      </c>
      <c r="L11" s="18" t="s">
        <v>77</v>
      </c>
      <c r="M11" s="18" t="s">
        <v>114</v>
      </c>
      <c r="N11" s="18" t="s">
        <v>115</v>
      </c>
      <c r="O11" s="31">
        <v>46295</v>
      </c>
      <c r="P11" s="40">
        <f>COUNTIF(Contacts!$B$6:$B$110,A11)/4</f>
        <v>2.25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95" customHeight="1">
      <c r="A12" s="28" t="s">
        <v>116</v>
      </c>
      <c r="B12" s="16" t="s">
        <v>117</v>
      </c>
      <c r="C12" s="16" t="s">
        <v>13</v>
      </c>
      <c r="D12" s="16" t="s">
        <v>69</v>
      </c>
      <c r="E12" s="16" t="s">
        <v>118</v>
      </c>
      <c r="F12" s="16" t="s">
        <v>119</v>
      </c>
      <c r="G12" s="16" t="s">
        <v>72</v>
      </c>
      <c r="H12" s="16" t="s">
        <v>120</v>
      </c>
      <c r="I12" s="16" t="s">
        <v>121</v>
      </c>
      <c r="J12" s="38" t="s">
        <v>122</v>
      </c>
      <c r="K12" s="39" t="s">
        <v>76</v>
      </c>
      <c r="L12" s="16" t="s">
        <v>77</v>
      </c>
      <c r="M12" s="16" t="s">
        <v>123</v>
      </c>
      <c r="N12" s="16" t="s">
        <v>124</v>
      </c>
      <c r="O12" s="29">
        <v>46295</v>
      </c>
      <c r="P12" s="40">
        <f>COUNTIF(Contacts!$B$6:$B$110,A12)/4</f>
        <v>1.5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95" customHeight="1">
      <c r="A13" s="30" t="s">
        <v>125</v>
      </c>
      <c r="B13" s="18" t="s">
        <v>126</v>
      </c>
      <c r="C13" s="18" t="s">
        <v>13</v>
      </c>
      <c r="D13" s="18" t="s">
        <v>127</v>
      </c>
      <c r="E13" s="18" t="s">
        <v>70</v>
      </c>
      <c r="F13" s="18" t="s">
        <v>18</v>
      </c>
      <c r="G13" s="18" t="s">
        <v>128</v>
      </c>
      <c r="H13" s="18" t="s">
        <v>129</v>
      </c>
      <c r="I13" s="18" t="s">
        <v>130</v>
      </c>
      <c r="J13" s="38" t="s">
        <v>75</v>
      </c>
      <c r="K13" s="39" t="s">
        <v>76</v>
      </c>
      <c r="L13" s="18" t="s">
        <v>77</v>
      </c>
      <c r="M13" s="18" t="s">
        <v>131</v>
      </c>
      <c r="N13" s="18" t="s">
        <v>132</v>
      </c>
      <c r="O13" s="31">
        <v>46295</v>
      </c>
      <c r="P13" s="40">
        <f>COUNTIF(Contacts!$B$6:$B$110,A13)/4</f>
        <v>3.5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95" customHeight="1">
      <c r="A14" s="28" t="s">
        <v>133</v>
      </c>
      <c r="B14" s="16" t="s">
        <v>134</v>
      </c>
      <c r="C14" s="16" t="s">
        <v>13</v>
      </c>
      <c r="D14" s="16" t="s">
        <v>69</v>
      </c>
      <c r="E14" s="16" t="s">
        <v>135</v>
      </c>
      <c r="F14" s="16" t="s">
        <v>84</v>
      </c>
      <c r="G14" s="16" t="s">
        <v>72</v>
      </c>
      <c r="H14" s="16" t="s">
        <v>136</v>
      </c>
      <c r="I14" s="16" t="s">
        <v>137</v>
      </c>
      <c r="J14" s="38" t="s">
        <v>75</v>
      </c>
      <c r="K14" s="39" t="s">
        <v>76</v>
      </c>
      <c r="L14" s="16" t="s">
        <v>77</v>
      </c>
      <c r="M14" s="16" t="s">
        <v>138</v>
      </c>
      <c r="N14" s="16" t="s">
        <v>139</v>
      </c>
      <c r="O14" s="29">
        <v>46295</v>
      </c>
      <c r="P14" s="40">
        <f>COUNTIF(Contacts!$B$6:$B$110,A14)/4</f>
        <v>1.25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95" customHeight="1">
      <c r="A15" s="30" t="s">
        <v>140</v>
      </c>
      <c r="B15" s="18" t="s">
        <v>141</v>
      </c>
      <c r="C15" s="18" t="s">
        <v>13</v>
      </c>
      <c r="D15" s="18" t="s">
        <v>69</v>
      </c>
      <c r="E15" s="18" t="s">
        <v>135</v>
      </c>
      <c r="F15" s="18" t="s">
        <v>119</v>
      </c>
      <c r="G15" s="18" t="s">
        <v>72</v>
      </c>
      <c r="H15" s="18" t="s">
        <v>142</v>
      </c>
      <c r="I15" s="18" t="s">
        <v>143</v>
      </c>
      <c r="J15" s="38" t="s">
        <v>122</v>
      </c>
      <c r="K15" s="39" t="s">
        <v>76</v>
      </c>
      <c r="L15" s="18" t="s">
        <v>77</v>
      </c>
      <c r="M15" s="18" t="s">
        <v>144</v>
      </c>
      <c r="N15" s="18" t="s">
        <v>145</v>
      </c>
      <c r="O15" s="31">
        <v>46295</v>
      </c>
      <c r="P15" s="40">
        <f>COUNTIF(Contacts!$B$6:$B$110,A15)/4</f>
        <v>0.75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95" customHeight="1">
      <c r="A16" s="28" t="s">
        <v>146</v>
      </c>
      <c r="B16" s="16" t="s">
        <v>147</v>
      </c>
      <c r="C16" s="16" t="s">
        <v>13</v>
      </c>
      <c r="D16" s="16" t="s">
        <v>69</v>
      </c>
      <c r="E16" s="16" t="s">
        <v>148</v>
      </c>
      <c r="F16" s="16" t="s">
        <v>71</v>
      </c>
      <c r="G16" s="16" t="s">
        <v>72</v>
      </c>
      <c r="H16" s="16" t="s">
        <v>149</v>
      </c>
      <c r="I16" s="16" t="s">
        <v>150</v>
      </c>
      <c r="J16" s="38" t="s">
        <v>122</v>
      </c>
      <c r="K16" s="39" t="s">
        <v>76</v>
      </c>
      <c r="L16" s="16" t="s">
        <v>77</v>
      </c>
      <c r="M16" s="16" t="s">
        <v>151</v>
      </c>
      <c r="N16" s="16" t="s">
        <v>152</v>
      </c>
      <c r="O16" s="29">
        <v>46295</v>
      </c>
      <c r="P16" s="40">
        <f>COUNTIF(Contacts!$B$6:$B$110,A16)/4</f>
        <v>0.75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95" customHeight="1">
      <c r="A17" s="30" t="s">
        <v>153</v>
      </c>
      <c r="B17" s="18" t="s">
        <v>154</v>
      </c>
      <c r="C17" s="18" t="s">
        <v>13</v>
      </c>
      <c r="D17" s="18" t="s">
        <v>69</v>
      </c>
      <c r="E17" s="18" t="s">
        <v>155</v>
      </c>
      <c r="F17" s="18" t="s">
        <v>84</v>
      </c>
      <c r="G17" s="18" t="s">
        <v>72</v>
      </c>
      <c r="H17" s="18" t="s">
        <v>156</v>
      </c>
      <c r="I17" s="18" t="s">
        <v>157</v>
      </c>
      <c r="J17" s="38" t="s">
        <v>122</v>
      </c>
      <c r="K17" s="39" t="s">
        <v>76</v>
      </c>
      <c r="L17" s="18" t="s">
        <v>77</v>
      </c>
      <c r="M17" s="18" t="s">
        <v>158</v>
      </c>
      <c r="N17" s="18" t="s">
        <v>159</v>
      </c>
      <c r="O17" s="31">
        <v>46295</v>
      </c>
      <c r="P17" s="40">
        <f>COUNTIF(Contacts!$B$6:$B$110,A17)/4</f>
        <v>0.5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95" customHeight="1">
      <c r="A18" s="28" t="s">
        <v>160</v>
      </c>
      <c r="B18" s="16" t="s">
        <v>161</v>
      </c>
      <c r="C18" s="16" t="s">
        <v>13</v>
      </c>
      <c r="D18" s="16" t="s">
        <v>69</v>
      </c>
      <c r="E18" s="16" t="s">
        <v>70</v>
      </c>
      <c r="F18" s="16" t="s">
        <v>119</v>
      </c>
      <c r="G18" s="16" t="s">
        <v>72</v>
      </c>
      <c r="H18" s="16" t="s">
        <v>162</v>
      </c>
      <c r="I18" s="16" t="s">
        <v>163</v>
      </c>
      <c r="J18" s="38" t="s">
        <v>122</v>
      </c>
      <c r="K18" s="39" t="s">
        <v>76</v>
      </c>
      <c r="L18" s="16" t="s">
        <v>77</v>
      </c>
      <c r="M18" s="16" t="s">
        <v>164</v>
      </c>
      <c r="N18" s="16" t="s">
        <v>165</v>
      </c>
      <c r="O18" s="29">
        <v>46295</v>
      </c>
      <c r="P18" s="40">
        <f>COUNTIF(Contacts!$B$6:$B$110,A18)/4</f>
        <v>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95" customHeight="1">
      <c r="A19" s="30" t="s">
        <v>166</v>
      </c>
      <c r="B19" s="18" t="s">
        <v>167</v>
      </c>
      <c r="C19" s="18" t="s">
        <v>13</v>
      </c>
      <c r="D19" s="18" t="s">
        <v>69</v>
      </c>
      <c r="E19" s="18" t="s">
        <v>70</v>
      </c>
      <c r="F19" s="18" t="s">
        <v>119</v>
      </c>
      <c r="G19" s="18" t="s">
        <v>72</v>
      </c>
      <c r="H19" s="18" t="s">
        <v>168</v>
      </c>
      <c r="I19" s="18" t="s">
        <v>169</v>
      </c>
      <c r="J19" s="38" t="s">
        <v>122</v>
      </c>
      <c r="K19" s="39" t="s">
        <v>76</v>
      </c>
      <c r="L19" s="18" t="s">
        <v>77</v>
      </c>
      <c r="M19" s="18" t="s">
        <v>164</v>
      </c>
      <c r="N19" s="18" t="s">
        <v>170</v>
      </c>
      <c r="O19" s="31">
        <v>46295</v>
      </c>
      <c r="P19" s="40">
        <f>COUNTIF(Contacts!$B$6:$B$110,A19)/4</f>
        <v>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95" customHeight="1">
      <c r="A20" s="28" t="s">
        <v>171</v>
      </c>
      <c r="B20" s="16" t="s">
        <v>172</v>
      </c>
      <c r="C20" s="16" t="s">
        <v>13</v>
      </c>
      <c r="D20" s="16" t="s">
        <v>173</v>
      </c>
      <c r="E20" s="16" t="s">
        <v>135</v>
      </c>
      <c r="F20" s="16" t="s">
        <v>174</v>
      </c>
      <c r="G20" s="16" t="s">
        <v>175</v>
      </c>
      <c r="H20" s="16" t="s">
        <v>176</v>
      </c>
      <c r="I20" s="16" t="s">
        <v>177</v>
      </c>
      <c r="J20" s="38" t="s">
        <v>75</v>
      </c>
      <c r="K20" s="39" t="s">
        <v>76</v>
      </c>
      <c r="L20" s="16" t="s">
        <v>77</v>
      </c>
      <c r="M20" s="16" t="s">
        <v>178</v>
      </c>
      <c r="N20" s="16" t="s">
        <v>179</v>
      </c>
      <c r="O20" s="29">
        <v>46295</v>
      </c>
      <c r="P20" s="40">
        <f>COUNTIF(Contacts!$B$6:$B$110,A20)/4</f>
        <v>0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95" customHeight="1">
      <c r="A21" s="30" t="s">
        <v>180</v>
      </c>
      <c r="B21" s="18" t="s">
        <v>181</v>
      </c>
      <c r="C21" s="18" t="s">
        <v>17</v>
      </c>
      <c r="D21" s="18" t="s">
        <v>182</v>
      </c>
      <c r="E21" s="18" t="s">
        <v>155</v>
      </c>
      <c r="F21" s="18" t="s">
        <v>183</v>
      </c>
      <c r="G21" s="18" t="s">
        <v>175</v>
      </c>
      <c r="H21" s="18" t="s">
        <v>184</v>
      </c>
      <c r="I21" s="18" t="s">
        <v>163</v>
      </c>
      <c r="J21" s="38" t="s">
        <v>75</v>
      </c>
      <c r="K21" s="39" t="s">
        <v>76</v>
      </c>
      <c r="L21" s="18" t="s">
        <v>77</v>
      </c>
      <c r="M21" s="18" t="s">
        <v>185</v>
      </c>
      <c r="N21" s="18" t="s">
        <v>186</v>
      </c>
      <c r="O21" s="31">
        <v>46295</v>
      </c>
      <c r="P21" s="40">
        <f>COUNTIF(Contacts!$B$6:$B$110,A21)/4</f>
        <v>0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95" customHeight="1">
      <c r="A22" s="28" t="s">
        <v>187</v>
      </c>
      <c r="B22" s="16" t="s">
        <v>188</v>
      </c>
      <c r="C22" s="16" t="s">
        <v>17</v>
      </c>
      <c r="D22" s="16" t="s">
        <v>189</v>
      </c>
      <c r="E22" s="16" t="s">
        <v>83</v>
      </c>
      <c r="F22" s="16" t="s">
        <v>183</v>
      </c>
      <c r="G22" s="16" t="s">
        <v>175</v>
      </c>
      <c r="H22" s="16" t="s">
        <v>184</v>
      </c>
      <c r="I22" s="16" t="s">
        <v>177</v>
      </c>
      <c r="J22" s="38" t="s">
        <v>75</v>
      </c>
      <c r="K22" s="39" t="s">
        <v>76</v>
      </c>
      <c r="L22" s="16" t="s">
        <v>77</v>
      </c>
      <c r="M22" s="16" t="s">
        <v>190</v>
      </c>
      <c r="N22" s="16" t="s">
        <v>191</v>
      </c>
      <c r="O22" s="29">
        <v>46295</v>
      </c>
      <c r="P22" s="40">
        <f>COUNTIF(Contacts!$B$6:$B$110,A22)/4</f>
        <v>0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95" customHeight="1">
      <c r="A23" s="30" t="s">
        <v>192</v>
      </c>
      <c r="B23" s="18" t="s">
        <v>193</v>
      </c>
      <c r="C23" s="18" t="s">
        <v>21</v>
      </c>
      <c r="D23" s="18" t="s">
        <v>21</v>
      </c>
      <c r="E23" s="18" t="s">
        <v>70</v>
      </c>
      <c r="F23" s="18" t="s">
        <v>18</v>
      </c>
      <c r="G23" s="18" t="s">
        <v>194</v>
      </c>
      <c r="H23" s="18" t="s">
        <v>195</v>
      </c>
      <c r="I23" s="18" t="s">
        <v>196</v>
      </c>
      <c r="J23" s="38" t="s">
        <v>75</v>
      </c>
      <c r="K23" s="39" t="s">
        <v>197</v>
      </c>
      <c r="L23" s="18" t="s">
        <v>77</v>
      </c>
      <c r="M23" s="18" t="s">
        <v>198</v>
      </c>
      <c r="N23" s="18" t="s">
        <v>199</v>
      </c>
      <c r="O23" s="31">
        <v>46295</v>
      </c>
      <c r="P23" s="40">
        <f>COUNTIF(Contacts!$B$6:$B$110,A23)/4</f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95" customHeight="1">
      <c r="A24" s="28" t="s">
        <v>200</v>
      </c>
      <c r="B24" s="16" t="s">
        <v>201</v>
      </c>
      <c r="C24" s="16" t="s">
        <v>21</v>
      </c>
      <c r="D24" s="16" t="s">
        <v>202</v>
      </c>
      <c r="E24" s="16" t="s">
        <v>203</v>
      </c>
      <c r="F24" s="16" t="s">
        <v>71</v>
      </c>
      <c r="G24" s="16" t="s">
        <v>175</v>
      </c>
      <c r="H24" s="16" t="s">
        <v>204</v>
      </c>
      <c r="I24" s="16" t="s">
        <v>205</v>
      </c>
      <c r="J24" s="38" t="s">
        <v>75</v>
      </c>
      <c r="K24" s="39" t="s">
        <v>197</v>
      </c>
      <c r="L24" s="16" t="s">
        <v>77</v>
      </c>
      <c r="M24" s="16" t="s">
        <v>206</v>
      </c>
      <c r="N24" s="16" t="s">
        <v>207</v>
      </c>
      <c r="O24" s="29">
        <v>46295</v>
      </c>
      <c r="P24" s="40">
        <f>COUNTIF(Contacts!$B$6:$B$110,A24)/4</f>
        <v>0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95" customHeight="1">
      <c r="A25" s="30" t="s">
        <v>208</v>
      </c>
      <c r="B25" s="18" t="s">
        <v>209</v>
      </c>
      <c r="C25" s="18" t="s">
        <v>21</v>
      </c>
      <c r="D25" s="18" t="s">
        <v>210</v>
      </c>
      <c r="E25" s="18" t="s">
        <v>211</v>
      </c>
      <c r="F25" s="18" t="s">
        <v>71</v>
      </c>
      <c r="G25" s="18" t="s">
        <v>194</v>
      </c>
      <c r="H25" s="18" t="s">
        <v>212</v>
      </c>
      <c r="I25" s="18" t="s">
        <v>196</v>
      </c>
      <c r="J25" s="38" t="s">
        <v>122</v>
      </c>
      <c r="K25" s="39" t="s">
        <v>197</v>
      </c>
      <c r="L25" s="18" t="s">
        <v>77</v>
      </c>
      <c r="M25" s="18" t="s">
        <v>213</v>
      </c>
      <c r="N25" s="18" t="s">
        <v>214</v>
      </c>
      <c r="O25" s="31">
        <v>46295</v>
      </c>
      <c r="P25" s="40">
        <f>COUNTIF(Contacts!$B$6:$B$110,A25)/4</f>
        <v>0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95" customHeight="1">
      <c r="A26" s="28" t="s">
        <v>215</v>
      </c>
      <c r="B26" s="16" t="s">
        <v>216</v>
      </c>
      <c r="C26" s="16" t="s">
        <v>25</v>
      </c>
      <c r="D26" s="16" t="s">
        <v>217</v>
      </c>
      <c r="E26" s="16" t="s">
        <v>99</v>
      </c>
      <c r="F26" s="16" t="s">
        <v>18</v>
      </c>
      <c r="G26" s="16" t="s">
        <v>72</v>
      </c>
      <c r="H26" s="16" t="s">
        <v>218</v>
      </c>
      <c r="I26" s="16" t="s">
        <v>219</v>
      </c>
      <c r="J26" s="38" t="s">
        <v>75</v>
      </c>
      <c r="K26" s="39" t="s">
        <v>76</v>
      </c>
      <c r="L26" s="16" t="s">
        <v>77</v>
      </c>
      <c r="M26" s="16" t="s">
        <v>220</v>
      </c>
      <c r="N26" s="16" t="s">
        <v>221</v>
      </c>
      <c r="O26" s="29">
        <v>46295</v>
      </c>
      <c r="P26" s="40">
        <f>COUNTIF(Contacts!$B$6:$B$110,A26)/4</f>
        <v>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95" customHeight="1">
      <c r="A27" s="30" t="s">
        <v>222</v>
      </c>
      <c r="B27" s="18" t="s">
        <v>223</v>
      </c>
      <c r="C27" s="18" t="s">
        <v>25</v>
      </c>
      <c r="D27" s="18" t="s">
        <v>224</v>
      </c>
      <c r="E27" s="18" t="s">
        <v>203</v>
      </c>
      <c r="F27" s="18" t="s">
        <v>18</v>
      </c>
      <c r="G27" s="18" t="s">
        <v>72</v>
      </c>
      <c r="H27" s="18" t="s">
        <v>225</v>
      </c>
      <c r="I27" s="18" t="s">
        <v>226</v>
      </c>
      <c r="J27" s="38" t="s">
        <v>75</v>
      </c>
      <c r="K27" s="39" t="s">
        <v>197</v>
      </c>
      <c r="L27" s="18" t="s">
        <v>77</v>
      </c>
      <c r="M27" s="18" t="s">
        <v>227</v>
      </c>
      <c r="N27" s="18" t="s">
        <v>228</v>
      </c>
      <c r="O27" s="31">
        <v>46295</v>
      </c>
      <c r="P27" s="40">
        <f>COUNTIF(Contacts!$B$6:$B$110,A27)/4</f>
        <v>0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95" customHeight="1">
      <c r="A28" s="28" t="s">
        <v>229</v>
      </c>
      <c r="B28" s="16" t="s">
        <v>230</v>
      </c>
      <c r="C28" s="16" t="s">
        <v>21</v>
      </c>
      <c r="D28" s="16" t="s">
        <v>231</v>
      </c>
      <c r="E28" s="16" t="s">
        <v>70</v>
      </c>
      <c r="F28" s="16" t="s">
        <v>18</v>
      </c>
      <c r="G28" s="16" t="s">
        <v>72</v>
      </c>
      <c r="H28" s="16" t="s">
        <v>232</v>
      </c>
      <c r="I28" s="16" t="s">
        <v>233</v>
      </c>
      <c r="J28" s="38" t="s">
        <v>122</v>
      </c>
      <c r="K28" s="39" t="s">
        <v>197</v>
      </c>
      <c r="L28" s="16" t="s">
        <v>77</v>
      </c>
      <c r="M28" s="16" t="s">
        <v>234</v>
      </c>
      <c r="N28" s="16" t="s">
        <v>235</v>
      </c>
      <c r="O28" s="29">
        <v>46295</v>
      </c>
      <c r="P28" s="40">
        <f>COUNTIF(Contacts!$B$6:$B$110,A28)/4</f>
        <v>0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95" customHeight="1">
      <c r="A29" s="30" t="s">
        <v>236</v>
      </c>
      <c r="B29" s="18" t="s">
        <v>237</v>
      </c>
      <c r="C29" s="18" t="s">
        <v>21</v>
      </c>
      <c r="D29" s="18" t="s">
        <v>231</v>
      </c>
      <c r="E29" s="18" t="s">
        <v>148</v>
      </c>
      <c r="F29" s="18" t="s">
        <v>18</v>
      </c>
      <c r="G29" s="18" t="s">
        <v>72</v>
      </c>
      <c r="H29" s="18" t="s">
        <v>232</v>
      </c>
      <c r="I29" s="18" t="s">
        <v>238</v>
      </c>
      <c r="J29" s="38" t="s">
        <v>122</v>
      </c>
      <c r="K29" s="39" t="s">
        <v>197</v>
      </c>
      <c r="L29" s="18" t="s">
        <v>77</v>
      </c>
      <c r="M29" s="18" t="s">
        <v>234</v>
      </c>
      <c r="N29" s="18" t="s">
        <v>239</v>
      </c>
      <c r="O29" s="31">
        <v>46295</v>
      </c>
      <c r="P29" s="40">
        <f>COUNTIF(Contacts!$B$6:$B$110,A29)/4</f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95" customHeight="1">
      <c r="A30" s="28" t="s">
        <v>240</v>
      </c>
      <c r="B30" s="16" t="s">
        <v>241</v>
      </c>
      <c r="C30" s="16" t="s">
        <v>25</v>
      </c>
      <c r="D30" s="16" t="s">
        <v>224</v>
      </c>
      <c r="E30" s="16" t="s">
        <v>99</v>
      </c>
      <c r="F30" s="16" t="s">
        <v>18</v>
      </c>
      <c r="G30" s="16" t="s">
        <v>72</v>
      </c>
      <c r="H30" s="16" t="s">
        <v>242</v>
      </c>
      <c r="I30" s="16" t="s">
        <v>243</v>
      </c>
      <c r="J30" s="38" t="s">
        <v>122</v>
      </c>
      <c r="K30" s="39" t="s">
        <v>197</v>
      </c>
      <c r="L30" s="16" t="s">
        <v>77</v>
      </c>
      <c r="M30" s="16" t="s">
        <v>244</v>
      </c>
      <c r="N30" s="16" t="s">
        <v>245</v>
      </c>
      <c r="O30" s="29">
        <v>46295</v>
      </c>
      <c r="P30" s="40">
        <f>COUNTIF(Contacts!$B$6:$B$110,A30)/4</f>
        <v>0</v>
      </c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Lists!$A$6:$A$11</xm:f>
          </x14:formula1>
          <xm:sqref>C6:C30</xm:sqref>
        </x14:dataValidation>
        <x14:dataValidation type="list" xr:uid="{00000000-0002-0000-0100-000001000000}">
          <x14:formula1>
            <xm:f>Lists!$B$6:$B$8</xm:f>
          </x14:formula1>
          <xm:sqref>J6:J30</xm:sqref>
        </x14:dataValidation>
        <x14:dataValidation type="list" xr:uid="{00000000-0002-0000-0100-000002000000}">
          <x14:formula1>
            <xm:f>Lists!$E$6:$E$10</xm:f>
          </x14:formula1>
          <xm:sqref>K6:K30</xm:sqref>
        </x14:dataValidation>
        <x14:dataValidation type="list" xr:uid="{00000000-0002-0000-0100-000003000000}">
          <x14:formula1>
            <xm:f>Lists!$G$6:$G$10</xm:f>
          </x14:formula1>
          <xm:sqref>L6:L30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B6B"/>
  </sheetPr>
  <dimension ref="A1:Z110"/>
  <sheetViews>
    <sheetView showGridLines="0" workbookViewId="0">
      <pane xSplit="3" ySplit="5" topLeftCell="D95" activePane="bottomRight" state="frozen"/>
      <selection pane="topRight"/>
      <selection pane="bottomLeft"/>
      <selection pane="bottomRight" activeCell="D6" sqref="D6"/>
    </sheetView>
  </sheetViews>
  <sheetFormatPr defaultRowHeight="13.8"/>
  <cols>
    <col min="1" max="2" width="12" customWidth="1"/>
    <col min="3" max="3" width="22" customWidth="1"/>
    <col min="4" max="4" width="39" customWidth="1"/>
    <col min="5" max="5" width="24" customWidth="1"/>
    <col min="6" max="6" width="13" customWidth="1"/>
    <col min="7" max="7" width="12" customWidth="1"/>
    <col min="8" max="8" width="30" customWidth="1"/>
    <col min="9" max="9" width="27" customWidth="1"/>
    <col min="10" max="10" width="14" customWidth="1"/>
    <col min="11" max="11" width="20" customWidth="1"/>
    <col min="12" max="12" width="29" customWidth="1"/>
    <col min="13" max="13" width="45" customWidth="1"/>
    <col min="14" max="14" width="48" customWidth="1"/>
    <col min="15" max="15" width="26" customWidth="1"/>
    <col min="16" max="16" width="24" customWidth="1"/>
    <col min="17" max="17" width="15" customWidth="1"/>
    <col min="18" max="18" width="12" customWidth="1"/>
    <col min="19" max="19" width="20" customWidth="1"/>
  </cols>
  <sheetData>
    <row r="1" spans="1:26" ht="28.05" customHeight="1">
      <c r="A1" s="6" t="s">
        <v>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2"/>
      <c r="U1" s="2"/>
      <c r="V1" s="2"/>
      <c r="W1" s="2"/>
      <c r="X1" s="2"/>
      <c r="Y1" s="2"/>
      <c r="Z1" s="2"/>
    </row>
    <row r="2" spans="1:26" ht="19.95" customHeight="1">
      <c r="A2" s="7" t="s">
        <v>246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2"/>
      <c r="U2" s="2"/>
      <c r="V2" s="2"/>
      <c r="W2" s="2"/>
      <c r="X2" s="2"/>
      <c r="Y2" s="2"/>
      <c r="Z2" s="2"/>
    </row>
    <row r="3" spans="1:26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3"/>
      <c r="U3" s="3"/>
      <c r="V3" s="3"/>
      <c r="W3" s="3"/>
      <c r="X3" s="3"/>
      <c r="Y3" s="3"/>
      <c r="Z3" s="3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2"/>
      <c r="U4" s="2"/>
      <c r="V4" s="2"/>
      <c r="W4" s="2"/>
      <c r="X4" s="2"/>
      <c r="Y4" s="2"/>
      <c r="Z4" s="2"/>
    </row>
    <row r="5" spans="1:26" ht="30" customHeight="1">
      <c r="A5" s="27" t="s">
        <v>247</v>
      </c>
      <c r="B5" s="27" t="s">
        <v>52</v>
      </c>
      <c r="C5" s="27" t="s">
        <v>248</v>
      </c>
      <c r="D5" s="27" t="s">
        <v>249</v>
      </c>
      <c r="E5" s="27" t="s">
        <v>250</v>
      </c>
      <c r="F5" s="27" t="s">
        <v>38</v>
      </c>
      <c r="G5" s="27" t="s">
        <v>9</v>
      </c>
      <c r="H5" s="27" t="s">
        <v>251</v>
      </c>
      <c r="I5" s="27" t="s">
        <v>252</v>
      </c>
      <c r="J5" s="27" t="s">
        <v>253</v>
      </c>
      <c r="K5" s="27" t="s">
        <v>254</v>
      </c>
      <c r="L5" s="27" t="s">
        <v>255</v>
      </c>
      <c r="M5" s="27" t="s">
        <v>256</v>
      </c>
      <c r="N5" s="27" t="s">
        <v>64</v>
      </c>
      <c r="O5" s="27" t="s">
        <v>257</v>
      </c>
      <c r="P5" s="27" t="s">
        <v>258</v>
      </c>
      <c r="Q5" s="27" t="s">
        <v>259</v>
      </c>
      <c r="R5" s="27" t="s">
        <v>260</v>
      </c>
      <c r="S5" s="27" t="s">
        <v>261</v>
      </c>
      <c r="T5" s="2"/>
      <c r="U5" s="2"/>
      <c r="V5" s="2"/>
      <c r="W5" s="2"/>
      <c r="X5" s="2"/>
      <c r="Y5" s="2"/>
      <c r="Z5" s="2"/>
    </row>
    <row r="6" spans="1:26" ht="19.95" customHeight="1">
      <c r="A6" s="28" t="s">
        <v>262</v>
      </c>
      <c r="B6" s="16" t="s">
        <v>67</v>
      </c>
      <c r="C6" s="16" t="s">
        <v>263</v>
      </c>
      <c r="D6" s="16" t="s">
        <v>264</v>
      </c>
      <c r="E6" s="16" t="s">
        <v>265</v>
      </c>
      <c r="F6" s="16" t="s">
        <v>40</v>
      </c>
      <c r="G6" s="16" t="s">
        <v>18</v>
      </c>
      <c r="H6" s="16"/>
      <c r="I6" s="16"/>
      <c r="J6" s="42">
        <v>4</v>
      </c>
      <c r="K6" s="16" t="s">
        <v>266</v>
      </c>
      <c r="L6" s="16" t="s">
        <v>47</v>
      </c>
      <c r="M6" s="16" t="s">
        <v>267</v>
      </c>
      <c r="N6" s="16" t="s">
        <v>79</v>
      </c>
      <c r="O6" s="16" t="s">
        <v>268</v>
      </c>
      <c r="P6" s="44" t="s">
        <v>269</v>
      </c>
      <c r="Q6" s="29">
        <v>46295</v>
      </c>
      <c r="R6" s="43">
        <f t="shared" ref="R6:R37" si="0">ROUND((J6*0.7)+IF(K6="Economic Buyer",1.5,IF(K6="Champion",1.2,IF(K6="Technical Evaluator",1,0.7))),1)</f>
        <v>4.3</v>
      </c>
      <c r="S6" s="33" t="str">
        <f>VLOOKUP(B6,Accounts!$A$6:$C$30,3,FALSE)</f>
        <v>Pharma</v>
      </c>
      <c r="T6" s="2"/>
      <c r="U6" s="2"/>
      <c r="V6" s="2"/>
      <c r="W6" s="2"/>
      <c r="X6" s="2"/>
      <c r="Y6" s="2"/>
      <c r="Z6" s="2"/>
    </row>
    <row r="7" spans="1:26" ht="19.95" customHeight="1">
      <c r="A7" s="30" t="s">
        <v>270</v>
      </c>
      <c r="B7" s="18" t="s">
        <v>67</v>
      </c>
      <c r="C7" s="18" t="s">
        <v>271</v>
      </c>
      <c r="D7" s="18" t="s">
        <v>272</v>
      </c>
      <c r="E7" s="18" t="s">
        <v>265</v>
      </c>
      <c r="F7" s="18" t="s">
        <v>40</v>
      </c>
      <c r="G7" s="18" t="s">
        <v>18</v>
      </c>
      <c r="H7" s="18"/>
      <c r="I7" s="18"/>
      <c r="J7" s="42">
        <v>4</v>
      </c>
      <c r="K7" s="18" t="s">
        <v>266</v>
      </c>
      <c r="L7" s="18" t="s">
        <v>47</v>
      </c>
      <c r="M7" s="18" t="s">
        <v>267</v>
      </c>
      <c r="N7" s="18" t="s">
        <v>79</v>
      </c>
      <c r="O7" s="18" t="s">
        <v>268</v>
      </c>
      <c r="P7" s="44" t="s">
        <v>269</v>
      </c>
      <c r="Q7" s="31">
        <v>46295</v>
      </c>
      <c r="R7" s="43">
        <f t="shared" si="0"/>
        <v>4.3</v>
      </c>
      <c r="S7" s="35" t="str">
        <f>VLOOKUP(B7,Accounts!$A$6:$C$30,3,FALSE)</f>
        <v>Pharma</v>
      </c>
      <c r="T7" s="2"/>
      <c r="U7" s="2"/>
      <c r="V7" s="2"/>
      <c r="W7" s="2"/>
      <c r="X7" s="2"/>
      <c r="Y7" s="2"/>
      <c r="Z7" s="2"/>
    </row>
    <row r="8" spans="1:26" ht="19.95" customHeight="1">
      <c r="A8" s="28" t="s">
        <v>273</v>
      </c>
      <c r="B8" s="16" t="s">
        <v>67</v>
      </c>
      <c r="C8" s="16" t="s">
        <v>274</v>
      </c>
      <c r="D8" s="16" t="s">
        <v>275</v>
      </c>
      <c r="E8" s="16" t="s">
        <v>276</v>
      </c>
      <c r="F8" s="16" t="s">
        <v>42</v>
      </c>
      <c r="G8" s="16" t="s">
        <v>18</v>
      </c>
      <c r="H8" s="16"/>
      <c r="I8" s="16"/>
      <c r="J8" s="42">
        <v>4</v>
      </c>
      <c r="K8" s="16" t="s">
        <v>277</v>
      </c>
      <c r="L8" s="16" t="s">
        <v>47</v>
      </c>
      <c r="M8" s="16" t="s">
        <v>267</v>
      </c>
      <c r="N8" s="16" t="s">
        <v>79</v>
      </c>
      <c r="O8" s="16" t="s">
        <v>268</v>
      </c>
      <c r="P8" s="44" t="s">
        <v>269</v>
      </c>
      <c r="Q8" s="29">
        <v>46295</v>
      </c>
      <c r="R8" s="43">
        <f t="shared" si="0"/>
        <v>4</v>
      </c>
      <c r="S8" s="33" t="str">
        <f>VLOOKUP(B8,Accounts!$A$6:$C$30,3,FALSE)</f>
        <v>Pharma</v>
      </c>
      <c r="T8" s="2"/>
      <c r="U8" s="2"/>
      <c r="V8" s="2"/>
      <c r="W8" s="2"/>
      <c r="X8" s="2"/>
      <c r="Y8" s="2"/>
      <c r="Z8" s="2"/>
    </row>
    <row r="9" spans="1:26" ht="19.95" customHeight="1">
      <c r="A9" s="30" t="s">
        <v>278</v>
      </c>
      <c r="B9" s="18" t="s">
        <v>67</v>
      </c>
      <c r="C9" s="18" t="s">
        <v>279</v>
      </c>
      <c r="D9" s="18" t="s">
        <v>275</v>
      </c>
      <c r="E9" s="18" t="s">
        <v>280</v>
      </c>
      <c r="F9" s="18" t="s">
        <v>42</v>
      </c>
      <c r="G9" s="18" t="s">
        <v>18</v>
      </c>
      <c r="H9" s="18"/>
      <c r="I9" s="18"/>
      <c r="J9" s="42">
        <v>4</v>
      </c>
      <c r="K9" s="18" t="s">
        <v>277</v>
      </c>
      <c r="L9" s="18" t="s">
        <v>47</v>
      </c>
      <c r="M9" s="18" t="s">
        <v>267</v>
      </c>
      <c r="N9" s="18" t="s">
        <v>79</v>
      </c>
      <c r="O9" s="18" t="s">
        <v>268</v>
      </c>
      <c r="P9" s="44" t="s">
        <v>269</v>
      </c>
      <c r="Q9" s="31">
        <v>46295</v>
      </c>
      <c r="R9" s="43">
        <f t="shared" si="0"/>
        <v>4</v>
      </c>
      <c r="S9" s="35" t="str">
        <f>VLOOKUP(B9,Accounts!$A$6:$C$30,3,FALSE)</f>
        <v>Pharma</v>
      </c>
      <c r="T9" s="2"/>
      <c r="U9" s="2"/>
      <c r="V9" s="2"/>
      <c r="W9" s="2"/>
      <c r="X9" s="2"/>
      <c r="Y9" s="2"/>
      <c r="Z9" s="2"/>
    </row>
    <row r="10" spans="1:26" ht="19.95" customHeight="1">
      <c r="A10" s="28" t="s">
        <v>281</v>
      </c>
      <c r="B10" s="16" t="s">
        <v>67</v>
      </c>
      <c r="C10" s="16" t="s">
        <v>282</v>
      </c>
      <c r="D10" s="16" t="s">
        <v>283</v>
      </c>
      <c r="E10" s="16" t="s">
        <v>265</v>
      </c>
      <c r="F10" s="16" t="s">
        <v>46</v>
      </c>
      <c r="G10" s="16" t="s">
        <v>18</v>
      </c>
      <c r="H10" s="16"/>
      <c r="I10" s="16"/>
      <c r="J10" s="42">
        <v>4</v>
      </c>
      <c r="K10" s="16" t="s">
        <v>266</v>
      </c>
      <c r="L10" s="16" t="s">
        <v>47</v>
      </c>
      <c r="M10" s="16" t="s">
        <v>267</v>
      </c>
      <c r="N10" s="16" t="s">
        <v>79</v>
      </c>
      <c r="O10" s="16" t="s">
        <v>268</v>
      </c>
      <c r="P10" s="44" t="s">
        <v>269</v>
      </c>
      <c r="Q10" s="29">
        <v>46295</v>
      </c>
      <c r="R10" s="43">
        <f t="shared" si="0"/>
        <v>4.3</v>
      </c>
      <c r="S10" s="33" t="str">
        <f>VLOOKUP(B10,Accounts!$A$6:$C$30,3,FALSE)</f>
        <v>Pharma</v>
      </c>
      <c r="T10" s="2"/>
      <c r="U10" s="2"/>
      <c r="V10" s="2"/>
      <c r="W10" s="2"/>
      <c r="X10" s="2"/>
      <c r="Y10" s="2"/>
      <c r="Z10" s="2"/>
    </row>
    <row r="11" spans="1:26" ht="19.95" customHeight="1">
      <c r="A11" s="30" t="s">
        <v>284</v>
      </c>
      <c r="B11" s="18" t="s">
        <v>67</v>
      </c>
      <c r="C11" s="18" t="s">
        <v>285</v>
      </c>
      <c r="D11" s="18" t="s">
        <v>286</v>
      </c>
      <c r="E11" s="18" t="s">
        <v>276</v>
      </c>
      <c r="F11" s="18" t="s">
        <v>46</v>
      </c>
      <c r="G11" s="18" t="s">
        <v>18</v>
      </c>
      <c r="H11" s="18"/>
      <c r="I11" s="18"/>
      <c r="J11" s="42">
        <v>4</v>
      </c>
      <c r="K11" s="18" t="s">
        <v>277</v>
      </c>
      <c r="L11" s="18" t="s">
        <v>47</v>
      </c>
      <c r="M11" s="18" t="s">
        <v>267</v>
      </c>
      <c r="N11" s="18" t="s">
        <v>79</v>
      </c>
      <c r="O11" s="18" t="s">
        <v>268</v>
      </c>
      <c r="P11" s="44" t="s">
        <v>269</v>
      </c>
      <c r="Q11" s="31">
        <v>46295</v>
      </c>
      <c r="R11" s="43">
        <f t="shared" si="0"/>
        <v>4</v>
      </c>
      <c r="S11" s="35" t="str">
        <f>VLOOKUP(B11,Accounts!$A$6:$C$30,3,FALSE)</f>
        <v>Pharma</v>
      </c>
      <c r="T11" s="2"/>
      <c r="U11" s="2"/>
      <c r="V11" s="2"/>
      <c r="W11" s="2"/>
      <c r="X11" s="2"/>
      <c r="Y11" s="2"/>
      <c r="Z11" s="2"/>
    </row>
    <row r="12" spans="1:26" ht="19.95" customHeight="1">
      <c r="A12" s="28" t="s">
        <v>287</v>
      </c>
      <c r="B12" s="16" t="s">
        <v>67</v>
      </c>
      <c r="C12" s="16" t="s">
        <v>288</v>
      </c>
      <c r="D12" s="16" t="s">
        <v>286</v>
      </c>
      <c r="E12" s="16" t="s">
        <v>289</v>
      </c>
      <c r="F12" s="16" t="s">
        <v>46</v>
      </c>
      <c r="G12" s="16" t="s">
        <v>18</v>
      </c>
      <c r="H12" s="16"/>
      <c r="I12" s="16"/>
      <c r="J12" s="42">
        <v>5</v>
      </c>
      <c r="K12" s="16" t="s">
        <v>290</v>
      </c>
      <c r="L12" s="16" t="s">
        <v>41</v>
      </c>
      <c r="M12" s="16" t="s">
        <v>267</v>
      </c>
      <c r="N12" s="16" t="s">
        <v>79</v>
      </c>
      <c r="O12" s="16" t="s">
        <v>268</v>
      </c>
      <c r="P12" s="44" t="s">
        <v>269</v>
      </c>
      <c r="Q12" s="29">
        <v>46295</v>
      </c>
      <c r="R12" s="43">
        <f t="shared" si="0"/>
        <v>4.5</v>
      </c>
      <c r="S12" s="33" t="str">
        <f>VLOOKUP(B12,Accounts!$A$6:$C$30,3,FALSE)</f>
        <v>Pharma</v>
      </c>
      <c r="T12" s="2"/>
      <c r="U12" s="2"/>
      <c r="V12" s="2"/>
      <c r="W12" s="2"/>
      <c r="X12" s="2"/>
      <c r="Y12" s="2"/>
      <c r="Z12" s="2"/>
    </row>
    <row r="13" spans="1:26" ht="19.95" customHeight="1">
      <c r="A13" s="30" t="s">
        <v>291</v>
      </c>
      <c r="B13" s="18" t="s">
        <v>67</v>
      </c>
      <c r="C13" s="18" t="s">
        <v>292</v>
      </c>
      <c r="D13" s="18" t="s">
        <v>286</v>
      </c>
      <c r="E13" s="18" t="s">
        <v>265</v>
      </c>
      <c r="F13" s="18" t="s">
        <v>46</v>
      </c>
      <c r="G13" s="18" t="s">
        <v>18</v>
      </c>
      <c r="H13" s="18"/>
      <c r="I13" s="18"/>
      <c r="J13" s="42">
        <v>4</v>
      </c>
      <c r="K13" s="18" t="s">
        <v>266</v>
      </c>
      <c r="L13" s="18" t="s">
        <v>47</v>
      </c>
      <c r="M13" s="18" t="s">
        <v>267</v>
      </c>
      <c r="N13" s="18" t="s">
        <v>79</v>
      </c>
      <c r="O13" s="18" t="s">
        <v>268</v>
      </c>
      <c r="P13" s="44" t="s">
        <v>269</v>
      </c>
      <c r="Q13" s="31">
        <v>46295</v>
      </c>
      <c r="R13" s="43">
        <f t="shared" si="0"/>
        <v>4.3</v>
      </c>
      <c r="S13" s="35" t="str">
        <f>VLOOKUP(B13,Accounts!$A$6:$C$30,3,FALSE)</f>
        <v>Pharma</v>
      </c>
      <c r="T13" s="2"/>
      <c r="U13" s="2"/>
      <c r="V13" s="2"/>
      <c r="W13" s="2"/>
      <c r="X13" s="2"/>
      <c r="Y13" s="2"/>
      <c r="Z13" s="2"/>
    </row>
    <row r="14" spans="1:26" ht="19.95" customHeight="1">
      <c r="A14" s="28" t="s">
        <v>293</v>
      </c>
      <c r="B14" s="16" t="s">
        <v>67</v>
      </c>
      <c r="C14" s="16" t="s">
        <v>294</v>
      </c>
      <c r="D14" s="16" t="s">
        <v>286</v>
      </c>
      <c r="E14" s="16" t="s">
        <v>265</v>
      </c>
      <c r="F14" s="16" t="s">
        <v>46</v>
      </c>
      <c r="G14" s="16" t="s">
        <v>18</v>
      </c>
      <c r="H14" s="16"/>
      <c r="I14" s="16"/>
      <c r="J14" s="42">
        <v>4</v>
      </c>
      <c r="K14" s="16" t="s">
        <v>266</v>
      </c>
      <c r="L14" s="16" t="s">
        <v>47</v>
      </c>
      <c r="M14" s="16" t="s">
        <v>267</v>
      </c>
      <c r="N14" s="16" t="s">
        <v>79</v>
      </c>
      <c r="O14" s="16" t="s">
        <v>268</v>
      </c>
      <c r="P14" s="44" t="s">
        <v>269</v>
      </c>
      <c r="Q14" s="29">
        <v>46295</v>
      </c>
      <c r="R14" s="43">
        <f t="shared" si="0"/>
        <v>4.3</v>
      </c>
      <c r="S14" s="33" t="str">
        <f>VLOOKUP(B14,Accounts!$A$6:$C$30,3,FALSE)</f>
        <v>Pharma</v>
      </c>
      <c r="T14" s="2"/>
      <c r="U14" s="2"/>
      <c r="V14" s="2"/>
      <c r="W14" s="2"/>
      <c r="X14" s="2"/>
      <c r="Y14" s="2"/>
      <c r="Z14" s="2"/>
    </row>
    <row r="15" spans="1:26" ht="19.95" customHeight="1">
      <c r="A15" s="30" t="s">
        <v>295</v>
      </c>
      <c r="B15" s="18" t="s">
        <v>67</v>
      </c>
      <c r="C15" s="18" t="s">
        <v>296</v>
      </c>
      <c r="D15" s="18" t="s">
        <v>275</v>
      </c>
      <c r="E15" s="18" t="s">
        <v>276</v>
      </c>
      <c r="F15" s="18" t="s">
        <v>42</v>
      </c>
      <c r="G15" s="18" t="s">
        <v>18</v>
      </c>
      <c r="H15" s="18"/>
      <c r="I15" s="18"/>
      <c r="J15" s="42">
        <v>4</v>
      </c>
      <c r="K15" s="18" t="s">
        <v>277</v>
      </c>
      <c r="L15" s="18" t="s">
        <v>47</v>
      </c>
      <c r="M15" s="18" t="s">
        <v>267</v>
      </c>
      <c r="N15" s="18" t="s">
        <v>79</v>
      </c>
      <c r="O15" s="18" t="s">
        <v>268</v>
      </c>
      <c r="P15" s="44" t="s">
        <v>269</v>
      </c>
      <c r="Q15" s="31">
        <v>46295</v>
      </c>
      <c r="R15" s="43">
        <f t="shared" si="0"/>
        <v>4</v>
      </c>
      <c r="S15" s="35" t="str">
        <f>VLOOKUP(B15,Accounts!$A$6:$C$30,3,FALSE)</f>
        <v>Pharma</v>
      </c>
      <c r="T15" s="2"/>
      <c r="U15" s="2"/>
      <c r="V15" s="2"/>
      <c r="W15" s="2"/>
      <c r="X15" s="2"/>
      <c r="Y15" s="2"/>
      <c r="Z15" s="2"/>
    </row>
    <row r="16" spans="1:26" ht="19.95" customHeight="1">
      <c r="A16" s="28" t="s">
        <v>297</v>
      </c>
      <c r="B16" s="16" t="s">
        <v>67</v>
      </c>
      <c r="C16" s="16" t="s">
        <v>298</v>
      </c>
      <c r="D16" s="16" t="s">
        <v>299</v>
      </c>
      <c r="E16" s="16" t="s">
        <v>265</v>
      </c>
      <c r="F16" s="16" t="s">
        <v>40</v>
      </c>
      <c r="G16" s="16" t="s">
        <v>18</v>
      </c>
      <c r="H16" s="16"/>
      <c r="I16" s="16"/>
      <c r="J16" s="42">
        <v>4</v>
      </c>
      <c r="K16" s="16" t="s">
        <v>266</v>
      </c>
      <c r="L16" s="16" t="s">
        <v>47</v>
      </c>
      <c r="M16" s="16" t="s">
        <v>267</v>
      </c>
      <c r="N16" s="16" t="s">
        <v>79</v>
      </c>
      <c r="O16" s="16" t="s">
        <v>268</v>
      </c>
      <c r="P16" s="44" t="s">
        <v>269</v>
      </c>
      <c r="Q16" s="29">
        <v>46295</v>
      </c>
      <c r="R16" s="43">
        <f t="shared" si="0"/>
        <v>4.3</v>
      </c>
      <c r="S16" s="33" t="str">
        <f>VLOOKUP(B16,Accounts!$A$6:$C$30,3,FALSE)</f>
        <v>Pharma</v>
      </c>
      <c r="T16" s="2"/>
      <c r="U16" s="2"/>
      <c r="V16" s="2"/>
      <c r="W16" s="2"/>
      <c r="X16" s="2"/>
      <c r="Y16" s="2"/>
      <c r="Z16" s="2"/>
    </row>
    <row r="17" spans="1:26" ht="19.95" customHeight="1">
      <c r="A17" s="30" t="s">
        <v>300</v>
      </c>
      <c r="B17" s="18" t="s">
        <v>67</v>
      </c>
      <c r="C17" s="18" t="s">
        <v>301</v>
      </c>
      <c r="D17" s="18" t="s">
        <v>302</v>
      </c>
      <c r="E17" s="18" t="s">
        <v>265</v>
      </c>
      <c r="F17" s="18" t="s">
        <v>46</v>
      </c>
      <c r="G17" s="18" t="s">
        <v>18</v>
      </c>
      <c r="H17" s="18"/>
      <c r="I17" s="18"/>
      <c r="J17" s="42">
        <v>4</v>
      </c>
      <c r="K17" s="18" t="s">
        <v>266</v>
      </c>
      <c r="L17" s="18" t="s">
        <v>47</v>
      </c>
      <c r="M17" s="18" t="s">
        <v>267</v>
      </c>
      <c r="N17" s="18" t="s">
        <v>79</v>
      </c>
      <c r="O17" s="18" t="s">
        <v>268</v>
      </c>
      <c r="P17" s="44" t="s">
        <v>269</v>
      </c>
      <c r="Q17" s="31">
        <v>46295</v>
      </c>
      <c r="R17" s="43">
        <f t="shared" si="0"/>
        <v>4.3</v>
      </c>
      <c r="S17" s="35" t="str">
        <f>VLOOKUP(B17,Accounts!$A$6:$C$30,3,FALSE)</f>
        <v>Pharma</v>
      </c>
      <c r="T17" s="2"/>
      <c r="U17" s="2"/>
      <c r="V17" s="2"/>
      <c r="W17" s="2"/>
      <c r="X17" s="2"/>
      <c r="Y17" s="2"/>
      <c r="Z17" s="2"/>
    </row>
    <row r="18" spans="1:26" ht="19.95" customHeight="1">
      <c r="A18" s="28" t="s">
        <v>303</v>
      </c>
      <c r="B18" s="16" t="s">
        <v>67</v>
      </c>
      <c r="C18" s="16" t="s">
        <v>304</v>
      </c>
      <c r="D18" s="16" t="s">
        <v>286</v>
      </c>
      <c r="E18" s="16" t="s">
        <v>265</v>
      </c>
      <c r="F18" s="16" t="s">
        <v>46</v>
      </c>
      <c r="G18" s="16" t="s">
        <v>18</v>
      </c>
      <c r="H18" s="16"/>
      <c r="I18" s="16"/>
      <c r="J18" s="42">
        <v>4</v>
      </c>
      <c r="K18" s="16" t="s">
        <v>266</v>
      </c>
      <c r="L18" s="16" t="s">
        <v>47</v>
      </c>
      <c r="M18" s="16" t="s">
        <v>267</v>
      </c>
      <c r="N18" s="16" t="s">
        <v>79</v>
      </c>
      <c r="O18" s="16" t="s">
        <v>268</v>
      </c>
      <c r="P18" s="44" t="s">
        <v>269</v>
      </c>
      <c r="Q18" s="29">
        <v>46295</v>
      </c>
      <c r="R18" s="43">
        <f t="shared" si="0"/>
        <v>4.3</v>
      </c>
      <c r="S18" s="33" t="str">
        <f>VLOOKUP(B18,Accounts!$A$6:$C$30,3,FALSE)</f>
        <v>Pharma</v>
      </c>
      <c r="T18" s="2"/>
      <c r="U18" s="2"/>
      <c r="V18" s="2"/>
      <c r="W18" s="2"/>
      <c r="X18" s="2"/>
      <c r="Y18" s="2"/>
      <c r="Z18" s="2"/>
    </row>
    <row r="19" spans="1:26" ht="19.95" customHeight="1">
      <c r="A19" s="30" t="s">
        <v>305</v>
      </c>
      <c r="B19" s="18" t="s">
        <v>67</v>
      </c>
      <c r="C19" s="18" t="s">
        <v>306</v>
      </c>
      <c r="D19" s="18" t="s">
        <v>307</v>
      </c>
      <c r="E19" s="18" t="s">
        <v>265</v>
      </c>
      <c r="F19" s="18" t="s">
        <v>42</v>
      </c>
      <c r="G19" s="18" t="s">
        <v>18</v>
      </c>
      <c r="H19" s="18"/>
      <c r="I19" s="18"/>
      <c r="J19" s="42">
        <v>4</v>
      </c>
      <c r="K19" s="18" t="s">
        <v>266</v>
      </c>
      <c r="L19" s="18" t="s">
        <v>47</v>
      </c>
      <c r="M19" s="18" t="s">
        <v>308</v>
      </c>
      <c r="N19" s="18" t="s">
        <v>79</v>
      </c>
      <c r="O19" s="18" t="s">
        <v>268</v>
      </c>
      <c r="P19" s="38" t="s">
        <v>309</v>
      </c>
      <c r="Q19" s="31">
        <v>46295</v>
      </c>
      <c r="R19" s="43">
        <f t="shared" si="0"/>
        <v>4.3</v>
      </c>
      <c r="S19" s="35" t="str">
        <f>VLOOKUP(B19,Accounts!$A$6:$C$30,3,FALSE)</f>
        <v>Pharma</v>
      </c>
      <c r="T19" s="2"/>
      <c r="U19" s="2"/>
      <c r="V19" s="2"/>
      <c r="W19" s="2"/>
      <c r="X19" s="2"/>
      <c r="Y19" s="2"/>
      <c r="Z19" s="2"/>
    </row>
    <row r="20" spans="1:26" ht="19.95" customHeight="1">
      <c r="A20" s="28" t="s">
        <v>310</v>
      </c>
      <c r="B20" s="16" t="s">
        <v>67</v>
      </c>
      <c r="C20" s="16" t="s">
        <v>311</v>
      </c>
      <c r="D20" s="16" t="s">
        <v>312</v>
      </c>
      <c r="E20" s="16" t="s">
        <v>313</v>
      </c>
      <c r="F20" s="16" t="s">
        <v>40</v>
      </c>
      <c r="G20" s="16" t="s">
        <v>18</v>
      </c>
      <c r="H20" s="16"/>
      <c r="I20" s="16"/>
      <c r="J20" s="42">
        <v>4</v>
      </c>
      <c r="K20" s="16" t="s">
        <v>277</v>
      </c>
      <c r="L20" s="16" t="s">
        <v>47</v>
      </c>
      <c r="M20" s="16" t="s">
        <v>308</v>
      </c>
      <c r="N20" s="16" t="s">
        <v>79</v>
      </c>
      <c r="O20" s="16" t="s">
        <v>268</v>
      </c>
      <c r="P20" s="38" t="s">
        <v>309</v>
      </c>
      <c r="Q20" s="29">
        <v>46295</v>
      </c>
      <c r="R20" s="43">
        <f t="shared" si="0"/>
        <v>4</v>
      </c>
      <c r="S20" s="33" t="str">
        <f>VLOOKUP(B20,Accounts!$A$6:$C$30,3,FALSE)</f>
        <v>Pharma</v>
      </c>
      <c r="T20" s="2"/>
      <c r="U20" s="2"/>
      <c r="V20" s="2"/>
      <c r="W20" s="2"/>
      <c r="X20" s="2"/>
      <c r="Y20" s="2"/>
      <c r="Z20" s="2"/>
    </row>
    <row r="21" spans="1:26" ht="19.95" customHeight="1">
      <c r="A21" s="30" t="s">
        <v>314</v>
      </c>
      <c r="B21" s="18" t="s">
        <v>80</v>
      </c>
      <c r="C21" s="18" t="s">
        <v>315</v>
      </c>
      <c r="D21" s="18" t="s">
        <v>316</v>
      </c>
      <c r="E21" s="18" t="s">
        <v>265</v>
      </c>
      <c r="F21" s="18" t="s">
        <v>40</v>
      </c>
      <c r="G21" s="18" t="s">
        <v>18</v>
      </c>
      <c r="H21" s="18"/>
      <c r="I21" s="18"/>
      <c r="J21" s="42">
        <v>4</v>
      </c>
      <c r="K21" s="18" t="s">
        <v>266</v>
      </c>
      <c r="L21" s="18" t="s">
        <v>47</v>
      </c>
      <c r="M21" s="18" t="s">
        <v>267</v>
      </c>
      <c r="N21" s="18" t="s">
        <v>88</v>
      </c>
      <c r="O21" s="18" t="s">
        <v>268</v>
      </c>
      <c r="P21" s="44" t="s">
        <v>269</v>
      </c>
      <c r="Q21" s="31">
        <v>46295</v>
      </c>
      <c r="R21" s="43">
        <f t="shared" si="0"/>
        <v>4.3</v>
      </c>
      <c r="S21" s="35" t="str">
        <f>VLOOKUP(B21,Accounts!$A$6:$C$30,3,FALSE)</f>
        <v>Pharma</v>
      </c>
      <c r="T21" s="2"/>
      <c r="U21" s="2"/>
      <c r="V21" s="2"/>
      <c r="W21" s="2"/>
      <c r="X21" s="2"/>
      <c r="Y21" s="2"/>
      <c r="Z21" s="2"/>
    </row>
    <row r="22" spans="1:26" ht="19.95" customHeight="1">
      <c r="A22" s="28" t="s">
        <v>317</v>
      </c>
      <c r="B22" s="16" t="s">
        <v>80</v>
      </c>
      <c r="C22" s="16" t="s">
        <v>318</v>
      </c>
      <c r="D22" s="16" t="s">
        <v>319</v>
      </c>
      <c r="E22" s="16" t="s">
        <v>280</v>
      </c>
      <c r="F22" s="16" t="s">
        <v>42</v>
      </c>
      <c r="G22" s="16" t="s">
        <v>18</v>
      </c>
      <c r="H22" s="16"/>
      <c r="I22" s="16"/>
      <c r="J22" s="42">
        <v>4</v>
      </c>
      <c r="K22" s="16" t="s">
        <v>277</v>
      </c>
      <c r="L22" s="16" t="s">
        <v>47</v>
      </c>
      <c r="M22" s="16" t="s">
        <v>267</v>
      </c>
      <c r="N22" s="16" t="s">
        <v>88</v>
      </c>
      <c r="O22" s="16" t="s">
        <v>268</v>
      </c>
      <c r="P22" s="44" t="s">
        <v>269</v>
      </c>
      <c r="Q22" s="29">
        <v>46295</v>
      </c>
      <c r="R22" s="43">
        <f t="shared" si="0"/>
        <v>4</v>
      </c>
      <c r="S22" s="33" t="str">
        <f>VLOOKUP(B22,Accounts!$A$6:$C$30,3,FALSE)</f>
        <v>Pharma</v>
      </c>
      <c r="T22" s="2"/>
      <c r="U22" s="2"/>
      <c r="V22" s="2"/>
      <c r="W22" s="2"/>
      <c r="X22" s="2"/>
      <c r="Y22" s="2"/>
      <c r="Z22" s="2"/>
    </row>
    <row r="23" spans="1:26" ht="19.95" customHeight="1">
      <c r="A23" s="30" t="s">
        <v>320</v>
      </c>
      <c r="B23" s="18" t="s">
        <v>80</v>
      </c>
      <c r="C23" s="18" t="s">
        <v>321</v>
      </c>
      <c r="D23" s="18" t="s">
        <v>322</v>
      </c>
      <c r="E23" s="18" t="s">
        <v>313</v>
      </c>
      <c r="F23" s="18" t="s">
        <v>42</v>
      </c>
      <c r="G23" s="18" t="s">
        <v>18</v>
      </c>
      <c r="H23" s="18"/>
      <c r="I23" s="18"/>
      <c r="J23" s="42">
        <v>4</v>
      </c>
      <c r="K23" s="18" t="s">
        <v>277</v>
      </c>
      <c r="L23" s="18" t="s">
        <v>47</v>
      </c>
      <c r="M23" s="18" t="s">
        <v>267</v>
      </c>
      <c r="N23" s="18" t="s">
        <v>88</v>
      </c>
      <c r="O23" s="18" t="s">
        <v>268</v>
      </c>
      <c r="P23" s="44" t="s">
        <v>269</v>
      </c>
      <c r="Q23" s="31">
        <v>46295</v>
      </c>
      <c r="R23" s="43">
        <f t="shared" si="0"/>
        <v>4</v>
      </c>
      <c r="S23" s="35" t="str">
        <f>VLOOKUP(B23,Accounts!$A$6:$C$30,3,FALSE)</f>
        <v>Pharma</v>
      </c>
      <c r="T23" s="2"/>
      <c r="U23" s="2"/>
      <c r="V23" s="2"/>
      <c r="W23" s="2"/>
      <c r="X23" s="2"/>
      <c r="Y23" s="2"/>
      <c r="Z23" s="2"/>
    </row>
    <row r="24" spans="1:26" ht="19.95" customHeight="1">
      <c r="A24" s="28" t="s">
        <v>323</v>
      </c>
      <c r="B24" s="16" t="s">
        <v>80</v>
      </c>
      <c r="C24" s="16" t="s">
        <v>324</v>
      </c>
      <c r="D24" s="16" t="s">
        <v>325</v>
      </c>
      <c r="E24" s="16" t="s">
        <v>326</v>
      </c>
      <c r="F24" s="16" t="s">
        <v>42</v>
      </c>
      <c r="G24" s="16" t="s">
        <v>18</v>
      </c>
      <c r="H24" s="16"/>
      <c r="I24" s="16"/>
      <c r="J24" s="42">
        <v>4</v>
      </c>
      <c r="K24" s="16" t="s">
        <v>277</v>
      </c>
      <c r="L24" s="16" t="s">
        <v>47</v>
      </c>
      <c r="M24" s="16" t="s">
        <v>267</v>
      </c>
      <c r="N24" s="16" t="s">
        <v>88</v>
      </c>
      <c r="O24" s="16" t="s">
        <v>268</v>
      </c>
      <c r="P24" s="44" t="s">
        <v>269</v>
      </c>
      <c r="Q24" s="29">
        <v>46295</v>
      </c>
      <c r="R24" s="43">
        <f t="shared" si="0"/>
        <v>4</v>
      </c>
      <c r="S24" s="33" t="str">
        <f>VLOOKUP(B24,Accounts!$A$6:$C$30,3,FALSE)</f>
        <v>Pharma</v>
      </c>
      <c r="T24" s="2"/>
      <c r="U24" s="2"/>
      <c r="V24" s="2"/>
      <c r="W24" s="2"/>
      <c r="X24" s="2"/>
      <c r="Y24" s="2"/>
      <c r="Z24" s="2"/>
    </row>
    <row r="25" spans="1:26" ht="19.95" customHeight="1">
      <c r="A25" s="30" t="s">
        <v>327</v>
      </c>
      <c r="B25" s="18" t="s">
        <v>80</v>
      </c>
      <c r="C25" s="18" t="s">
        <v>328</v>
      </c>
      <c r="D25" s="18" t="s">
        <v>329</v>
      </c>
      <c r="E25" s="18" t="s">
        <v>313</v>
      </c>
      <c r="F25" s="18" t="s">
        <v>42</v>
      </c>
      <c r="G25" s="18" t="s">
        <v>18</v>
      </c>
      <c r="H25" s="18"/>
      <c r="I25" s="18"/>
      <c r="J25" s="42">
        <v>4</v>
      </c>
      <c r="K25" s="18" t="s">
        <v>277</v>
      </c>
      <c r="L25" s="18" t="s">
        <v>47</v>
      </c>
      <c r="M25" s="18" t="s">
        <v>267</v>
      </c>
      <c r="N25" s="18" t="s">
        <v>88</v>
      </c>
      <c r="O25" s="18" t="s">
        <v>268</v>
      </c>
      <c r="P25" s="44" t="s">
        <v>269</v>
      </c>
      <c r="Q25" s="31">
        <v>46295</v>
      </c>
      <c r="R25" s="43">
        <f t="shared" si="0"/>
        <v>4</v>
      </c>
      <c r="S25" s="35" t="str">
        <f>VLOOKUP(B25,Accounts!$A$6:$C$30,3,FALSE)</f>
        <v>Pharma</v>
      </c>
      <c r="T25" s="2"/>
      <c r="U25" s="2"/>
      <c r="V25" s="2"/>
      <c r="W25" s="2"/>
      <c r="X25" s="2"/>
      <c r="Y25" s="2"/>
      <c r="Z25" s="2"/>
    </row>
    <row r="26" spans="1:26" ht="19.95" customHeight="1">
      <c r="A26" s="28" t="s">
        <v>330</v>
      </c>
      <c r="B26" s="16" t="s">
        <v>80</v>
      </c>
      <c r="C26" s="16" t="s">
        <v>331</v>
      </c>
      <c r="D26" s="16" t="s">
        <v>332</v>
      </c>
      <c r="E26" s="16" t="s">
        <v>276</v>
      </c>
      <c r="F26" s="16" t="s">
        <v>42</v>
      </c>
      <c r="G26" s="16" t="s">
        <v>18</v>
      </c>
      <c r="H26" s="16"/>
      <c r="I26" s="16"/>
      <c r="J26" s="42">
        <v>4</v>
      </c>
      <c r="K26" s="16" t="s">
        <v>277</v>
      </c>
      <c r="L26" s="16" t="s">
        <v>47</v>
      </c>
      <c r="M26" s="16" t="s">
        <v>267</v>
      </c>
      <c r="N26" s="16" t="s">
        <v>88</v>
      </c>
      <c r="O26" s="16" t="s">
        <v>268</v>
      </c>
      <c r="P26" s="44" t="s">
        <v>269</v>
      </c>
      <c r="Q26" s="29">
        <v>46295</v>
      </c>
      <c r="R26" s="43">
        <f t="shared" si="0"/>
        <v>4</v>
      </c>
      <c r="S26" s="33" t="str">
        <f>VLOOKUP(B26,Accounts!$A$6:$C$30,3,FALSE)</f>
        <v>Pharma</v>
      </c>
      <c r="T26" s="2"/>
      <c r="U26" s="2"/>
      <c r="V26" s="2"/>
      <c r="W26" s="2"/>
      <c r="X26" s="2"/>
      <c r="Y26" s="2"/>
      <c r="Z26" s="2"/>
    </row>
    <row r="27" spans="1:26" ht="19.95" customHeight="1">
      <c r="A27" s="30" t="s">
        <v>333</v>
      </c>
      <c r="B27" s="18" t="s">
        <v>80</v>
      </c>
      <c r="C27" s="18" t="s">
        <v>334</v>
      </c>
      <c r="D27" s="18" t="s">
        <v>335</v>
      </c>
      <c r="E27" s="18" t="s">
        <v>280</v>
      </c>
      <c r="F27" s="18" t="s">
        <v>46</v>
      </c>
      <c r="G27" s="18" t="s">
        <v>18</v>
      </c>
      <c r="H27" s="18"/>
      <c r="I27" s="18"/>
      <c r="J27" s="42">
        <v>4</v>
      </c>
      <c r="K27" s="18" t="s">
        <v>277</v>
      </c>
      <c r="L27" s="18" t="s">
        <v>47</v>
      </c>
      <c r="M27" s="18" t="s">
        <v>267</v>
      </c>
      <c r="N27" s="18" t="s">
        <v>88</v>
      </c>
      <c r="O27" s="18" t="s">
        <v>268</v>
      </c>
      <c r="P27" s="44" t="s">
        <v>269</v>
      </c>
      <c r="Q27" s="31">
        <v>46295</v>
      </c>
      <c r="R27" s="43">
        <f t="shared" si="0"/>
        <v>4</v>
      </c>
      <c r="S27" s="35" t="str">
        <f>VLOOKUP(B27,Accounts!$A$6:$C$30,3,FALSE)</f>
        <v>Pharma</v>
      </c>
      <c r="T27" s="2"/>
      <c r="U27" s="2"/>
      <c r="V27" s="2"/>
      <c r="W27" s="2"/>
      <c r="X27" s="2"/>
      <c r="Y27" s="2"/>
      <c r="Z27" s="2"/>
    </row>
    <row r="28" spans="1:26" ht="19.95" customHeight="1">
      <c r="A28" s="28" t="s">
        <v>336</v>
      </c>
      <c r="B28" s="16" t="s">
        <v>80</v>
      </c>
      <c r="C28" s="16" t="s">
        <v>337</v>
      </c>
      <c r="D28" s="16" t="s">
        <v>338</v>
      </c>
      <c r="E28" s="16" t="s">
        <v>276</v>
      </c>
      <c r="F28" s="16" t="s">
        <v>46</v>
      </c>
      <c r="G28" s="16" t="s">
        <v>18</v>
      </c>
      <c r="H28" s="16"/>
      <c r="I28" s="16"/>
      <c r="J28" s="42">
        <v>4</v>
      </c>
      <c r="K28" s="16" t="s">
        <v>277</v>
      </c>
      <c r="L28" s="16" t="s">
        <v>47</v>
      </c>
      <c r="M28" s="16" t="s">
        <v>267</v>
      </c>
      <c r="N28" s="16" t="s">
        <v>88</v>
      </c>
      <c r="O28" s="16" t="s">
        <v>268</v>
      </c>
      <c r="P28" s="44" t="s">
        <v>269</v>
      </c>
      <c r="Q28" s="29">
        <v>46295</v>
      </c>
      <c r="R28" s="43">
        <f t="shared" si="0"/>
        <v>4</v>
      </c>
      <c r="S28" s="33" t="str">
        <f>VLOOKUP(B28,Accounts!$A$6:$C$30,3,FALSE)</f>
        <v>Pharma</v>
      </c>
      <c r="T28" s="2"/>
      <c r="U28" s="2"/>
      <c r="V28" s="2"/>
      <c r="W28" s="2"/>
      <c r="X28" s="2"/>
      <c r="Y28" s="2"/>
      <c r="Z28" s="2"/>
    </row>
    <row r="29" spans="1:26" ht="19.95" customHeight="1">
      <c r="A29" s="30" t="s">
        <v>339</v>
      </c>
      <c r="B29" s="18" t="s">
        <v>80</v>
      </c>
      <c r="C29" s="18" t="s">
        <v>340</v>
      </c>
      <c r="D29" s="18" t="s">
        <v>341</v>
      </c>
      <c r="E29" s="18" t="s">
        <v>342</v>
      </c>
      <c r="F29" s="18" t="s">
        <v>40</v>
      </c>
      <c r="G29" s="18" t="s">
        <v>18</v>
      </c>
      <c r="H29" s="18"/>
      <c r="I29" s="18"/>
      <c r="J29" s="42">
        <v>5</v>
      </c>
      <c r="K29" s="18" t="s">
        <v>290</v>
      </c>
      <c r="L29" s="18" t="s">
        <v>45</v>
      </c>
      <c r="M29" s="18" t="s">
        <v>267</v>
      </c>
      <c r="N29" s="18" t="s">
        <v>88</v>
      </c>
      <c r="O29" s="18" t="s">
        <v>268</v>
      </c>
      <c r="P29" s="44" t="s">
        <v>269</v>
      </c>
      <c r="Q29" s="31">
        <v>46295</v>
      </c>
      <c r="R29" s="43">
        <f t="shared" si="0"/>
        <v>4.5</v>
      </c>
      <c r="S29" s="35" t="str">
        <f>VLOOKUP(B29,Accounts!$A$6:$C$30,3,FALSE)</f>
        <v>Pharma</v>
      </c>
      <c r="T29" s="2"/>
      <c r="U29" s="2"/>
      <c r="V29" s="2"/>
      <c r="W29" s="2"/>
      <c r="X29" s="2"/>
      <c r="Y29" s="2"/>
      <c r="Z29" s="2"/>
    </row>
    <row r="30" spans="1:26" ht="19.95" customHeight="1">
      <c r="A30" s="28" t="s">
        <v>343</v>
      </c>
      <c r="B30" s="16" t="s">
        <v>80</v>
      </c>
      <c r="C30" s="16" t="s">
        <v>344</v>
      </c>
      <c r="D30" s="16" t="s">
        <v>345</v>
      </c>
      <c r="E30" s="16" t="s">
        <v>289</v>
      </c>
      <c r="F30" s="16" t="s">
        <v>46</v>
      </c>
      <c r="G30" s="16" t="s">
        <v>18</v>
      </c>
      <c r="H30" s="16"/>
      <c r="I30" s="16"/>
      <c r="J30" s="42">
        <v>5</v>
      </c>
      <c r="K30" s="16" t="s">
        <v>290</v>
      </c>
      <c r="L30" s="16" t="s">
        <v>41</v>
      </c>
      <c r="M30" s="16" t="s">
        <v>267</v>
      </c>
      <c r="N30" s="16" t="s">
        <v>88</v>
      </c>
      <c r="O30" s="16" t="s">
        <v>268</v>
      </c>
      <c r="P30" s="44" t="s">
        <v>269</v>
      </c>
      <c r="Q30" s="29">
        <v>46295</v>
      </c>
      <c r="R30" s="43">
        <f t="shared" si="0"/>
        <v>4.5</v>
      </c>
      <c r="S30" s="33" t="str">
        <f>VLOOKUP(B30,Accounts!$A$6:$C$30,3,FALSE)</f>
        <v>Pharma</v>
      </c>
      <c r="T30" s="2"/>
      <c r="U30" s="2"/>
      <c r="V30" s="2"/>
      <c r="W30" s="2"/>
      <c r="X30" s="2"/>
      <c r="Y30" s="2"/>
      <c r="Z30" s="2"/>
    </row>
    <row r="31" spans="1:26" ht="19.95" customHeight="1">
      <c r="A31" s="30" t="s">
        <v>346</v>
      </c>
      <c r="B31" s="18" t="s">
        <v>89</v>
      </c>
      <c r="C31" s="18" t="s">
        <v>347</v>
      </c>
      <c r="D31" s="18" t="s">
        <v>348</v>
      </c>
      <c r="E31" s="18" t="s">
        <v>265</v>
      </c>
      <c r="F31" s="18" t="s">
        <v>40</v>
      </c>
      <c r="G31" s="18" t="s">
        <v>18</v>
      </c>
      <c r="H31" s="18"/>
      <c r="I31" s="18"/>
      <c r="J31" s="42">
        <v>4</v>
      </c>
      <c r="K31" s="18" t="s">
        <v>266</v>
      </c>
      <c r="L31" s="18" t="s">
        <v>47</v>
      </c>
      <c r="M31" s="18" t="s">
        <v>267</v>
      </c>
      <c r="N31" s="18" t="s">
        <v>95</v>
      </c>
      <c r="O31" s="18" t="s">
        <v>268</v>
      </c>
      <c r="P31" s="44" t="s">
        <v>269</v>
      </c>
      <c r="Q31" s="31">
        <v>46295</v>
      </c>
      <c r="R31" s="43">
        <f t="shared" si="0"/>
        <v>4.3</v>
      </c>
      <c r="S31" s="35" t="str">
        <f>VLOOKUP(B31,Accounts!$A$6:$C$30,3,FALSE)</f>
        <v>Pharma</v>
      </c>
      <c r="T31" s="2"/>
      <c r="U31" s="2"/>
      <c r="V31" s="2"/>
      <c r="W31" s="2"/>
      <c r="X31" s="2"/>
      <c r="Y31" s="2"/>
      <c r="Z31" s="2"/>
    </row>
    <row r="32" spans="1:26" ht="19.95" customHeight="1">
      <c r="A32" s="28" t="s">
        <v>349</v>
      </c>
      <c r="B32" s="16" t="s">
        <v>89</v>
      </c>
      <c r="C32" s="16" t="s">
        <v>350</v>
      </c>
      <c r="D32" s="16" t="s">
        <v>351</v>
      </c>
      <c r="E32" s="16" t="s">
        <v>265</v>
      </c>
      <c r="F32" s="16" t="s">
        <v>40</v>
      </c>
      <c r="G32" s="16" t="s">
        <v>18</v>
      </c>
      <c r="H32" s="16"/>
      <c r="I32" s="16"/>
      <c r="J32" s="42">
        <v>4</v>
      </c>
      <c r="K32" s="16" t="s">
        <v>266</v>
      </c>
      <c r="L32" s="16" t="s">
        <v>47</v>
      </c>
      <c r="M32" s="16" t="s">
        <v>267</v>
      </c>
      <c r="N32" s="16" t="s">
        <v>95</v>
      </c>
      <c r="O32" s="16" t="s">
        <v>268</v>
      </c>
      <c r="P32" s="44" t="s">
        <v>269</v>
      </c>
      <c r="Q32" s="29">
        <v>46295</v>
      </c>
      <c r="R32" s="43">
        <f t="shared" si="0"/>
        <v>4.3</v>
      </c>
      <c r="S32" s="33" t="str">
        <f>VLOOKUP(B32,Accounts!$A$6:$C$30,3,FALSE)</f>
        <v>Pharma</v>
      </c>
      <c r="T32" s="2"/>
      <c r="U32" s="2"/>
      <c r="V32" s="2"/>
      <c r="W32" s="2"/>
      <c r="X32" s="2"/>
      <c r="Y32" s="2"/>
      <c r="Z32" s="2"/>
    </row>
    <row r="33" spans="1:26" ht="19.95" customHeight="1">
      <c r="A33" s="30" t="s">
        <v>352</v>
      </c>
      <c r="B33" s="18" t="s">
        <v>89</v>
      </c>
      <c r="C33" s="18" t="s">
        <v>353</v>
      </c>
      <c r="D33" s="18" t="s">
        <v>354</v>
      </c>
      <c r="E33" s="18" t="s">
        <v>265</v>
      </c>
      <c r="F33" s="18" t="s">
        <v>40</v>
      </c>
      <c r="G33" s="18" t="s">
        <v>18</v>
      </c>
      <c r="H33" s="18"/>
      <c r="I33" s="18"/>
      <c r="J33" s="42">
        <v>4</v>
      </c>
      <c r="K33" s="18" t="s">
        <v>266</v>
      </c>
      <c r="L33" s="18" t="s">
        <v>47</v>
      </c>
      <c r="M33" s="18" t="s">
        <v>308</v>
      </c>
      <c r="N33" s="18" t="s">
        <v>95</v>
      </c>
      <c r="O33" s="18" t="s">
        <v>268</v>
      </c>
      <c r="P33" s="38" t="s">
        <v>309</v>
      </c>
      <c r="Q33" s="31">
        <v>46295</v>
      </c>
      <c r="R33" s="43">
        <f t="shared" si="0"/>
        <v>4.3</v>
      </c>
      <c r="S33" s="35" t="str">
        <f>VLOOKUP(B33,Accounts!$A$6:$C$30,3,FALSE)</f>
        <v>Pharma</v>
      </c>
      <c r="T33" s="2"/>
      <c r="U33" s="2"/>
      <c r="V33" s="2"/>
      <c r="W33" s="2"/>
      <c r="X33" s="2"/>
      <c r="Y33" s="2"/>
      <c r="Z33" s="2"/>
    </row>
    <row r="34" spans="1:26" ht="19.95" customHeight="1">
      <c r="A34" s="28" t="s">
        <v>355</v>
      </c>
      <c r="B34" s="16" t="s">
        <v>89</v>
      </c>
      <c r="C34" s="16" t="s">
        <v>356</v>
      </c>
      <c r="D34" s="16" t="s">
        <v>357</v>
      </c>
      <c r="E34" s="16" t="s">
        <v>280</v>
      </c>
      <c r="F34" s="16" t="s">
        <v>40</v>
      </c>
      <c r="G34" s="16" t="s">
        <v>18</v>
      </c>
      <c r="H34" s="16"/>
      <c r="I34" s="16"/>
      <c r="J34" s="42">
        <v>4</v>
      </c>
      <c r="K34" s="16" t="s">
        <v>277</v>
      </c>
      <c r="L34" s="16" t="s">
        <v>47</v>
      </c>
      <c r="M34" s="16" t="s">
        <v>308</v>
      </c>
      <c r="N34" s="16" t="s">
        <v>95</v>
      </c>
      <c r="O34" s="16" t="s">
        <v>268</v>
      </c>
      <c r="P34" s="38" t="s">
        <v>309</v>
      </c>
      <c r="Q34" s="29">
        <v>46295</v>
      </c>
      <c r="R34" s="43">
        <f t="shared" si="0"/>
        <v>4</v>
      </c>
      <c r="S34" s="33" t="str">
        <f>VLOOKUP(B34,Accounts!$A$6:$C$30,3,FALSE)</f>
        <v>Pharma</v>
      </c>
      <c r="T34" s="2"/>
      <c r="U34" s="2"/>
      <c r="V34" s="2"/>
      <c r="W34" s="2"/>
      <c r="X34" s="2"/>
      <c r="Y34" s="2"/>
      <c r="Z34" s="2"/>
    </row>
    <row r="35" spans="1:26" ht="19.95" customHeight="1">
      <c r="A35" s="30" t="s">
        <v>358</v>
      </c>
      <c r="B35" s="18" t="s">
        <v>89</v>
      </c>
      <c r="C35" s="18" t="s">
        <v>359</v>
      </c>
      <c r="D35" s="18" t="s">
        <v>286</v>
      </c>
      <c r="E35" s="18" t="s">
        <v>265</v>
      </c>
      <c r="F35" s="18" t="s">
        <v>46</v>
      </c>
      <c r="G35" s="18" t="s">
        <v>18</v>
      </c>
      <c r="H35" s="18"/>
      <c r="I35" s="18"/>
      <c r="J35" s="42">
        <v>4</v>
      </c>
      <c r="K35" s="18" t="s">
        <v>266</v>
      </c>
      <c r="L35" s="18" t="s">
        <v>47</v>
      </c>
      <c r="M35" s="18" t="s">
        <v>308</v>
      </c>
      <c r="N35" s="18" t="s">
        <v>95</v>
      </c>
      <c r="O35" s="18" t="s">
        <v>268</v>
      </c>
      <c r="P35" s="38" t="s">
        <v>309</v>
      </c>
      <c r="Q35" s="31">
        <v>46295</v>
      </c>
      <c r="R35" s="43">
        <f t="shared" si="0"/>
        <v>4.3</v>
      </c>
      <c r="S35" s="35" t="str">
        <f>VLOOKUP(B35,Accounts!$A$6:$C$30,3,FALSE)</f>
        <v>Pharma</v>
      </c>
      <c r="T35" s="2"/>
      <c r="U35" s="2"/>
      <c r="V35" s="2"/>
      <c r="W35" s="2"/>
      <c r="X35" s="2"/>
      <c r="Y35" s="2"/>
      <c r="Z35" s="2"/>
    </row>
    <row r="36" spans="1:26" ht="19.95" customHeight="1">
      <c r="A36" s="28" t="s">
        <v>360</v>
      </c>
      <c r="B36" s="16" t="s">
        <v>96</v>
      </c>
      <c r="C36" s="16" t="s">
        <v>361</v>
      </c>
      <c r="D36" s="16" t="s">
        <v>362</v>
      </c>
      <c r="E36" s="16" t="s">
        <v>265</v>
      </c>
      <c r="F36" s="16" t="s">
        <v>40</v>
      </c>
      <c r="G36" s="16" t="s">
        <v>18</v>
      </c>
      <c r="H36" s="16"/>
      <c r="I36" s="16"/>
      <c r="J36" s="42">
        <v>4</v>
      </c>
      <c r="K36" s="16" t="s">
        <v>266</v>
      </c>
      <c r="L36" s="16" t="s">
        <v>47</v>
      </c>
      <c r="M36" s="16" t="s">
        <v>267</v>
      </c>
      <c r="N36" s="16" t="s">
        <v>103</v>
      </c>
      <c r="O36" s="16" t="s">
        <v>268</v>
      </c>
      <c r="P36" s="44" t="s">
        <v>269</v>
      </c>
      <c r="Q36" s="29">
        <v>46295</v>
      </c>
      <c r="R36" s="43">
        <f t="shared" si="0"/>
        <v>4.3</v>
      </c>
      <c r="S36" s="33" t="str">
        <f>VLOOKUP(B36,Accounts!$A$6:$C$30,3,FALSE)</f>
        <v>Biotech</v>
      </c>
      <c r="T36" s="2"/>
      <c r="U36" s="2"/>
      <c r="V36" s="2"/>
      <c r="W36" s="2"/>
      <c r="X36" s="2"/>
      <c r="Y36" s="2"/>
      <c r="Z36" s="2"/>
    </row>
    <row r="37" spans="1:26" ht="19.95" customHeight="1">
      <c r="A37" s="30" t="s">
        <v>363</v>
      </c>
      <c r="B37" s="18" t="s">
        <v>96</v>
      </c>
      <c r="C37" s="18" t="s">
        <v>364</v>
      </c>
      <c r="D37" s="18" t="s">
        <v>365</v>
      </c>
      <c r="E37" s="18" t="s">
        <v>289</v>
      </c>
      <c r="F37" s="18" t="s">
        <v>40</v>
      </c>
      <c r="G37" s="18" t="s">
        <v>18</v>
      </c>
      <c r="H37" s="18"/>
      <c r="I37" s="18"/>
      <c r="J37" s="42">
        <v>5</v>
      </c>
      <c r="K37" s="18" t="s">
        <v>290</v>
      </c>
      <c r="L37" s="18" t="s">
        <v>41</v>
      </c>
      <c r="M37" s="18" t="s">
        <v>267</v>
      </c>
      <c r="N37" s="18" t="s">
        <v>103</v>
      </c>
      <c r="O37" s="18" t="s">
        <v>268</v>
      </c>
      <c r="P37" s="44" t="s">
        <v>269</v>
      </c>
      <c r="Q37" s="31">
        <v>46295</v>
      </c>
      <c r="R37" s="43">
        <f t="shared" si="0"/>
        <v>4.5</v>
      </c>
      <c r="S37" s="35" t="str">
        <f>VLOOKUP(B37,Accounts!$A$6:$C$30,3,FALSE)</f>
        <v>Biotech</v>
      </c>
      <c r="T37" s="2"/>
      <c r="U37" s="2"/>
      <c r="V37" s="2"/>
      <c r="W37" s="2"/>
      <c r="X37" s="2"/>
      <c r="Y37" s="2"/>
      <c r="Z37" s="2"/>
    </row>
    <row r="38" spans="1:26" ht="19.95" customHeight="1">
      <c r="A38" s="28" t="s">
        <v>366</v>
      </c>
      <c r="B38" s="16" t="s">
        <v>96</v>
      </c>
      <c r="C38" s="16" t="s">
        <v>367</v>
      </c>
      <c r="D38" s="16" t="s">
        <v>299</v>
      </c>
      <c r="E38" s="16" t="s">
        <v>265</v>
      </c>
      <c r="F38" s="16" t="s">
        <v>40</v>
      </c>
      <c r="G38" s="16" t="s">
        <v>18</v>
      </c>
      <c r="H38" s="16"/>
      <c r="I38" s="16"/>
      <c r="J38" s="42">
        <v>4</v>
      </c>
      <c r="K38" s="16" t="s">
        <v>266</v>
      </c>
      <c r="L38" s="16" t="s">
        <v>47</v>
      </c>
      <c r="M38" s="16" t="s">
        <v>267</v>
      </c>
      <c r="N38" s="16" t="s">
        <v>103</v>
      </c>
      <c r="O38" s="16" t="s">
        <v>268</v>
      </c>
      <c r="P38" s="44" t="s">
        <v>269</v>
      </c>
      <c r="Q38" s="29">
        <v>46295</v>
      </c>
      <c r="R38" s="43">
        <f t="shared" ref="R38:R69" si="1">ROUND((J38*0.7)+IF(K38="Economic Buyer",1.5,IF(K38="Champion",1.2,IF(K38="Technical Evaluator",1,0.7))),1)</f>
        <v>4.3</v>
      </c>
      <c r="S38" s="33" t="str">
        <f>VLOOKUP(B38,Accounts!$A$6:$C$30,3,FALSE)</f>
        <v>Biotech</v>
      </c>
      <c r="T38" s="2"/>
      <c r="U38" s="2"/>
      <c r="V38" s="2"/>
      <c r="W38" s="2"/>
      <c r="X38" s="2"/>
      <c r="Y38" s="2"/>
      <c r="Z38" s="2"/>
    </row>
    <row r="39" spans="1:26" ht="19.95" customHeight="1">
      <c r="A39" s="30" t="s">
        <v>368</v>
      </c>
      <c r="B39" s="18" t="s">
        <v>96</v>
      </c>
      <c r="C39" s="18" t="s">
        <v>369</v>
      </c>
      <c r="D39" s="18" t="s">
        <v>370</v>
      </c>
      <c r="E39" s="18" t="s">
        <v>342</v>
      </c>
      <c r="F39" s="18" t="s">
        <v>40</v>
      </c>
      <c r="G39" s="18" t="s">
        <v>18</v>
      </c>
      <c r="H39" s="18"/>
      <c r="I39" s="18"/>
      <c r="J39" s="42">
        <v>5</v>
      </c>
      <c r="K39" s="18" t="s">
        <v>290</v>
      </c>
      <c r="L39" s="18" t="s">
        <v>45</v>
      </c>
      <c r="M39" s="18" t="s">
        <v>267</v>
      </c>
      <c r="N39" s="18" t="s">
        <v>103</v>
      </c>
      <c r="O39" s="18" t="s">
        <v>268</v>
      </c>
      <c r="P39" s="44" t="s">
        <v>269</v>
      </c>
      <c r="Q39" s="31">
        <v>46295</v>
      </c>
      <c r="R39" s="43">
        <f t="shared" si="1"/>
        <v>4.5</v>
      </c>
      <c r="S39" s="35" t="str">
        <f>VLOOKUP(B39,Accounts!$A$6:$C$30,3,FALSE)</f>
        <v>Biotech</v>
      </c>
      <c r="T39" s="2"/>
      <c r="U39" s="2"/>
      <c r="V39" s="2"/>
      <c r="W39" s="2"/>
      <c r="X39" s="2"/>
      <c r="Y39" s="2"/>
      <c r="Z39" s="2"/>
    </row>
    <row r="40" spans="1:26" ht="19.95" customHeight="1">
      <c r="A40" s="28" t="s">
        <v>371</v>
      </c>
      <c r="B40" s="16" t="s">
        <v>96</v>
      </c>
      <c r="C40" s="16" t="s">
        <v>372</v>
      </c>
      <c r="D40" s="16" t="s">
        <v>373</v>
      </c>
      <c r="E40" s="16" t="s">
        <v>280</v>
      </c>
      <c r="F40" s="16" t="s">
        <v>40</v>
      </c>
      <c r="G40" s="16" t="s">
        <v>18</v>
      </c>
      <c r="H40" s="16"/>
      <c r="I40" s="16"/>
      <c r="J40" s="42">
        <v>4</v>
      </c>
      <c r="K40" s="16" t="s">
        <v>277</v>
      </c>
      <c r="L40" s="16" t="s">
        <v>47</v>
      </c>
      <c r="M40" s="16" t="s">
        <v>267</v>
      </c>
      <c r="N40" s="16" t="s">
        <v>103</v>
      </c>
      <c r="O40" s="16" t="s">
        <v>268</v>
      </c>
      <c r="P40" s="44" t="s">
        <v>269</v>
      </c>
      <c r="Q40" s="29">
        <v>46295</v>
      </c>
      <c r="R40" s="43">
        <f t="shared" si="1"/>
        <v>4</v>
      </c>
      <c r="S40" s="33" t="str">
        <f>VLOOKUP(B40,Accounts!$A$6:$C$30,3,FALSE)</f>
        <v>Biotech</v>
      </c>
      <c r="T40" s="2"/>
      <c r="U40" s="2"/>
      <c r="V40" s="2"/>
      <c r="W40" s="2"/>
      <c r="X40" s="2"/>
      <c r="Y40" s="2"/>
      <c r="Z40" s="2"/>
    </row>
    <row r="41" spans="1:26" ht="19.95" customHeight="1">
      <c r="A41" s="30" t="s">
        <v>374</v>
      </c>
      <c r="B41" s="18" t="s">
        <v>96</v>
      </c>
      <c r="C41" s="18" t="s">
        <v>375</v>
      </c>
      <c r="D41" s="18" t="s">
        <v>376</v>
      </c>
      <c r="E41" s="18" t="s">
        <v>265</v>
      </c>
      <c r="F41" s="18" t="s">
        <v>40</v>
      </c>
      <c r="G41" s="18" t="s">
        <v>18</v>
      </c>
      <c r="H41" s="18"/>
      <c r="I41" s="18"/>
      <c r="J41" s="42">
        <v>4</v>
      </c>
      <c r="K41" s="18" t="s">
        <v>266</v>
      </c>
      <c r="L41" s="18" t="s">
        <v>47</v>
      </c>
      <c r="M41" s="18" t="s">
        <v>267</v>
      </c>
      <c r="N41" s="18" t="s">
        <v>103</v>
      </c>
      <c r="O41" s="18" t="s">
        <v>268</v>
      </c>
      <c r="P41" s="44" t="s">
        <v>269</v>
      </c>
      <c r="Q41" s="31">
        <v>46295</v>
      </c>
      <c r="R41" s="43">
        <f t="shared" si="1"/>
        <v>4.3</v>
      </c>
      <c r="S41" s="35" t="str">
        <f>VLOOKUP(B41,Accounts!$A$6:$C$30,3,FALSE)</f>
        <v>Biotech</v>
      </c>
      <c r="T41" s="2"/>
      <c r="U41" s="2"/>
      <c r="V41" s="2"/>
      <c r="W41" s="2"/>
      <c r="X41" s="2"/>
      <c r="Y41" s="2"/>
      <c r="Z41" s="2"/>
    </row>
    <row r="42" spans="1:26" ht="19.95" customHeight="1">
      <c r="A42" s="28" t="s">
        <v>377</v>
      </c>
      <c r="B42" s="16" t="s">
        <v>96</v>
      </c>
      <c r="C42" s="16" t="s">
        <v>378</v>
      </c>
      <c r="D42" s="16" t="s">
        <v>379</v>
      </c>
      <c r="E42" s="16" t="s">
        <v>313</v>
      </c>
      <c r="F42" s="16" t="s">
        <v>40</v>
      </c>
      <c r="G42" s="16" t="s">
        <v>18</v>
      </c>
      <c r="H42" s="16"/>
      <c r="I42" s="16"/>
      <c r="J42" s="42">
        <v>4</v>
      </c>
      <c r="K42" s="16" t="s">
        <v>277</v>
      </c>
      <c r="L42" s="16" t="s">
        <v>47</v>
      </c>
      <c r="M42" s="16" t="s">
        <v>267</v>
      </c>
      <c r="N42" s="16" t="s">
        <v>103</v>
      </c>
      <c r="O42" s="16" t="s">
        <v>268</v>
      </c>
      <c r="P42" s="44" t="s">
        <v>269</v>
      </c>
      <c r="Q42" s="29">
        <v>46295</v>
      </c>
      <c r="R42" s="43">
        <f t="shared" si="1"/>
        <v>4</v>
      </c>
      <c r="S42" s="33" t="str">
        <f>VLOOKUP(B42,Accounts!$A$6:$C$30,3,FALSE)</f>
        <v>Biotech</v>
      </c>
      <c r="T42" s="2"/>
      <c r="U42" s="2"/>
      <c r="V42" s="2"/>
      <c r="W42" s="2"/>
      <c r="X42" s="2"/>
      <c r="Y42" s="2"/>
      <c r="Z42" s="2"/>
    </row>
    <row r="43" spans="1:26" ht="19.95" customHeight="1">
      <c r="A43" s="30" t="s">
        <v>380</v>
      </c>
      <c r="B43" s="18" t="s">
        <v>96</v>
      </c>
      <c r="C43" s="18" t="s">
        <v>381</v>
      </c>
      <c r="D43" s="18" t="s">
        <v>382</v>
      </c>
      <c r="E43" s="18" t="s">
        <v>276</v>
      </c>
      <c r="F43" s="18" t="s">
        <v>40</v>
      </c>
      <c r="G43" s="18" t="s">
        <v>18</v>
      </c>
      <c r="H43" s="18"/>
      <c r="I43" s="18"/>
      <c r="J43" s="42">
        <v>4</v>
      </c>
      <c r="K43" s="18" t="s">
        <v>277</v>
      </c>
      <c r="L43" s="18" t="s">
        <v>47</v>
      </c>
      <c r="M43" s="18" t="s">
        <v>267</v>
      </c>
      <c r="N43" s="18" t="s">
        <v>103</v>
      </c>
      <c r="O43" s="18" t="s">
        <v>268</v>
      </c>
      <c r="P43" s="44" t="s">
        <v>269</v>
      </c>
      <c r="Q43" s="31">
        <v>46295</v>
      </c>
      <c r="R43" s="43">
        <f t="shared" si="1"/>
        <v>4</v>
      </c>
      <c r="S43" s="35" t="str">
        <f>VLOOKUP(B43,Accounts!$A$6:$C$30,3,FALSE)</f>
        <v>Biotech</v>
      </c>
      <c r="T43" s="2"/>
      <c r="U43" s="2"/>
      <c r="V43" s="2"/>
      <c r="W43" s="2"/>
      <c r="X43" s="2"/>
      <c r="Y43" s="2"/>
      <c r="Z43" s="2"/>
    </row>
    <row r="44" spans="1:26" ht="19.95" customHeight="1">
      <c r="A44" s="28" t="s">
        <v>383</v>
      </c>
      <c r="B44" s="16" t="s">
        <v>96</v>
      </c>
      <c r="C44" s="16" t="s">
        <v>384</v>
      </c>
      <c r="D44" s="16" t="s">
        <v>385</v>
      </c>
      <c r="E44" s="16" t="s">
        <v>265</v>
      </c>
      <c r="F44" s="16" t="s">
        <v>46</v>
      </c>
      <c r="G44" s="16" t="s">
        <v>18</v>
      </c>
      <c r="H44" s="16"/>
      <c r="I44" s="16"/>
      <c r="J44" s="42">
        <v>4</v>
      </c>
      <c r="K44" s="16" t="s">
        <v>266</v>
      </c>
      <c r="L44" s="16" t="s">
        <v>47</v>
      </c>
      <c r="M44" s="16" t="s">
        <v>267</v>
      </c>
      <c r="N44" s="16" t="s">
        <v>103</v>
      </c>
      <c r="O44" s="16" t="s">
        <v>268</v>
      </c>
      <c r="P44" s="44" t="s">
        <v>269</v>
      </c>
      <c r="Q44" s="29">
        <v>46295</v>
      </c>
      <c r="R44" s="43">
        <f t="shared" si="1"/>
        <v>4.3</v>
      </c>
      <c r="S44" s="33" t="str">
        <f>VLOOKUP(B44,Accounts!$A$6:$C$30,3,FALSE)</f>
        <v>Biotech</v>
      </c>
      <c r="T44" s="2"/>
      <c r="U44" s="2"/>
      <c r="V44" s="2"/>
      <c r="W44" s="2"/>
      <c r="X44" s="2"/>
      <c r="Y44" s="2"/>
      <c r="Z44" s="2"/>
    </row>
    <row r="45" spans="1:26" ht="19.95" customHeight="1">
      <c r="A45" s="30" t="s">
        <v>386</v>
      </c>
      <c r="B45" s="18" t="s">
        <v>96</v>
      </c>
      <c r="C45" s="18" t="s">
        <v>387</v>
      </c>
      <c r="D45" s="18" t="s">
        <v>388</v>
      </c>
      <c r="E45" s="18" t="s">
        <v>280</v>
      </c>
      <c r="F45" s="18" t="s">
        <v>46</v>
      </c>
      <c r="G45" s="18" t="s">
        <v>18</v>
      </c>
      <c r="H45" s="18"/>
      <c r="I45" s="18"/>
      <c r="J45" s="42">
        <v>4</v>
      </c>
      <c r="K45" s="18" t="s">
        <v>277</v>
      </c>
      <c r="L45" s="18" t="s">
        <v>47</v>
      </c>
      <c r="M45" s="18" t="s">
        <v>267</v>
      </c>
      <c r="N45" s="18" t="s">
        <v>103</v>
      </c>
      <c r="O45" s="18" t="s">
        <v>268</v>
      </c>
      <c r="P45" s="44" t="s">
        <v>269</v>
      </c>
      <c r="Q45" s="31">
        <v>46295</v>
      </c>
      <c r="R45" s="43">
        <f t="shared" si="1"/>
        <v>4</v>
      </c>
      <c r="S45" s="35" t="str">
        <f>VLOOKUP(B45,Accounts!$A$6:$C$30,3,FALSE)</f>
        <v>Biotech</v>
      </c>
      <c r="T45" s="2"/>
      <c r="U45" s="2"/>
      <c r="V45" s="2"/>
      <c r="W45" s="2"/>
      <c r="X45" s="2"/>
      <c r="Y45" s="2"/>
      <c r="Z45" s="2"/>
    </row>
    <row r="46" spans="1:26" ht="19.95" customHeight="1">
      <c r="A46" s="28" t="s">
        <v>389</v>
      </c>
      <c r="B46" s="16" t="s">
        <v>96</v>
      </c>
      <c r="C46" s="16" t="s">
        <v>390</v>
      </c>
      <c r="D46" s="16" t="s">
        <v>391</v>
      </c>
      <c r="E46" s="16" t="s">
        <v>265</v>
      </c>
      <c r="F46" s="16" t="s">
        <v>46</v>
      </c>
      <c r="G46" s="16" t="s">
        <v>18</v>
      </c>
      <c r="H46" s="16"/>
      <c r="I46" s="16"/>
      <c r="J46" s="42">
        <v>4</v>
      </c>
      <c r="K46" s="16" t="s">
        <v>266</v>
      </c>
      <c r="L46" s="16" t="s">
        <v>47</v>
      </c>
      <c r="M46" s="16" t="s">
        <v>267</v>
      </c>
      <c r="N46" s="16" t="s">
        <v>103</v>
      </c>
      <c r="O46" s="16" t="s">
        <v>268</v>
      </c>
      <c r="P46" s="44" t="s">
        <v>269</v>
      </c>
      <c r="Q46" s="29">
        <v>46295</v>
      </c>
      <c r="R46" s="43">
        <f t="shared" si="1"/>
        <v>4.3</v>
      </c>
      <c r="S46" s="33" t="str">
        <f>VLOOKUP(B46,Accounts!$A$6:$C$30,3,FALSE)</f>
        <v>Biotech</v>
      </c>
      <c r="T46" s="2"/>
      <c r="U46" s="2"/>
      <c r="V46" s="2"/>
      <c r="W46" s="2"/>
      <c r="X46" s="2"/>
      <c r="Y46" s="2"/>
      <c r="Z46" s="2"/>
    </row>
    <row r="47" spans="1:26" ht="19.95" customHeight="1">
      <c r="A47" s="30" t="s">
        <v>392</v>
      </c>
      <c r="B47" s="18" t="s">
        <v>96</v>
      </c>
      <c r="C47" s="18" t="s">
        <v>393</v>
      </c>
      <c r="D47" s="18" t="s">
        <v>394</v>
      </c>
      <c r="E47" s="18" t="s">
        <v>265</v>
      </c>
      <c r="F47" s="18" t="s">
        <v>42</v>
      </c>
      <c r="G47" s="18" t="s">
        <v>18</v>
      </c>
      <c r="H47" s="18"/>
      <c r="I47" s="18"/>
      <c r="J47" s="42">
        <v>4</v>
      </c>
      <c r="K47" s="18" t="s">
        <v>266</v>
      </c>
      <c r="L47" s="18" t="s">
        <v>47</v>
      </c>
      <c r="M47" s="18" t="s">
        <v>267</v>
      </c>
      <c r="N47" s="18" t="s">
        <v>103</v>
      </c>
      <c r="O47" s="18" t="s">
        <v>268</v>
      </c>
      <c r="P47" s="44" t="s">
        <v>269</v>
      </c>
      <c r="Q47" s="31">
        <v>46295</v>
      </c>
      <c r="R47" s="43">
        <f t="shared" si="1"/>
        <v>4.3</v>
      </c>
      <c r="S47" s="35" t="str">
        <f>VLOOKUP(B47,Accounts!$A$6:$C$30,3,FALSE)</f>
        <v>Biotech</v>
      </c>
      <c r="T47" s="2"/>
      <c r="U47" s="2"/>
      <c r="V47" s="2"/>
      <c r="W47" s="2"/>
      <c r="X47" s="2"/>
      <c r="Y47" s="2"/>
      <c r="Z47" s="2"/>
    </row>
    <row r="48" spans="1:26" ht="19.95" customHeight="1">
      <c r="A48" s="28" t="s">
        <v>395</v>
      </c>
      <c r="B48" s="16" t="s">
        <v>104</v>
      </c>
      <c r="C48" s="16" t="s">
        <v>396</v>
      </c>
      <c r="D48" s="16" t="s">
        <v>397</v>
      </c>
      <c r="E48" s="16" t="s">
        <v>265</v>
      </c>
      <c r="F48" s="16" t="s">
        <v>42</v>
      </c>
      <c r="G48" s="16" t="s">
        <v>18</v>
      </c>
      <c r="H48" s="16"/>
      <c r="I48" s="16"/>
      <c r="J48" s="42">
        <v>4</v>
      </c>
      <c r="K48" s="16" t="s">
        <v>266</v>
      </c>
      <c r="L48" s="16" t="s">
        <v>47</v>
      </c>
      <c r="M48" s="16" t="s">
        <v>267</v>
      </c>
      <c r="N48" s="16" t="s">
        <v>109</v>
      </c>
      <c r="O48" s="16" t="s">
        <v>268</v>
      </c>
      <c r="P48" s="44" t="s">
        <v>269</v>
      </c>
      <c r="Q48" s="29">
        <v>46295</v>
      </c>
      <c r="R48" s="43">
        <f t="shared" si="1"/>
        <v>4.3</v>
      </c>
      <c r="S48" s="33" t="str">
        <f>VLOOKUP(B48,Accounts!$A$6:$C$30,3,FALSE)</f>
        <v>Pharma</v>
      </c>
      <c r="T48" s="2"/>
      <c r="U48" s="2"/>
      <c r="V48" s="2"/>
      <c r="W48" s="2"/>
      <c r="X48" s="2"/>
      <c r="Y48" s="2"/>
      <c r="Z48" s="2"/>
    </row>
    <row r="49" spans="1:26" ht="19.95" customHeight="1">
      <c r="A49" s="30" t="s">
        <v>398</v>
      </c>
      <c r="B49" s="18" t="s">
        <v>104</v>
      </c>
      <c r="C49" s="18" t="s">
        <v>399</v>
      </c>
      <c r="D49" s="18" t="s">
        <v>400</v>
      </c>
      <c r="E49" s="18" t="s">
        <v>265</v>
      </c>
      <c r="F49" s="18" t="s">
        <v>40</v>
      </c>
      <c r="G49" s="18" t="s">
        <v>18</v>
      </c>
      <c r="H49" s="18"/>
      <c r="I49" s="18"/>
      <c r="J49" s="42">
        <v>4</v>
      </c>
      <c r="K49" s="18" t="s">
        <v>266</v>
      </c>
      <c r="L49" s="18" t="s">
        <v>47</v>
      </c>
      <c r="M49" s="18" t="s">
        <v>267</v>
      </c>
      <c r="N49" s="18" t="s">
        <v>109</v>
      </c>
      <c r="O49" s="18" t="s">
        <v>268</v>
      </c>
      <c r="P49" s="44" t="s">
        <v>269</v>
      </c>
      <c r="Q49" s="31">
        <v>46295</v>
      </c>
      <c r="R49" s="43">
        <f t="shared" si="1"/>
        <v>4.3</v>
      </c>
      <c r="S49" s="35" t="str">
        <f>VLOOKUP(B49,Accounts!$A$6:$C$30,3,FALSE)</f>
        <v>Pharma</v>
      </c>
      <c r="T49" s="2"/>
      <c r="U49" s="2"/>
      <c r="V49" s="2"/>
      <c r="W49" s="2"/>
      <c r="X49" s="2"/>
      <c r="Y49" s="2"/>
      <c r="Z49" s="2"/>
    </row>
    <row r="50" spans="1:26" ht="19.95" customHeight="1">
      <c r="A50" s="28" t="s">
        <v>401</v>
      </c>
      <c r="B50" s="16" t="s">
        <v>104</v>
      </c>
      <c r="C50" s="16" t="s">
        <v>402</v>
      </c>
      <c r="D50" s="16" t="s">
        <v>272</v>
      </c>
      <c r="E50" s="16" t="s">
        <v>265</v>
      </c>
      <c r="F50" s="16" t="s">
        <v>40</v>
      </c>
      <c r="G50" s="16" t="s">
        <v>18</v>
      </c>
      <c r="H50" s="16"/>
      <c r="I50" s="16"/>
      <c r="J50" s="42">
        <v>4</v>
      </c>
      <c r="K50" s="16" t="s">
        <v>266</v>
      </c>
      <c r="L50" s="16" t="s">
        <v>47</v>
      </c>
      <c r="M50" s="16" t="s">
        <v>267</v>
      </c>
      <c r="N50" s="16" t="s">
        <v>109</v>
      </c>
      <c r="O50" s="16" t="s">
        <v>268</v>
      </c>
      <c r="P50" s="44" t="s">
        <v>269</v>
      </c>
      <c r="Q50" s="29">
        <v>46295</v>
      </c>
      <c r="R50" s="43">
        <f t="shared" si="1"/>
        <v>4.3</v>
      </c>
      <c r="S50" s="33" t="str">
        <f>VLOOKUP(B50,Accounts!$A$6:$C$30,3,FALSE)</f>
        <v>Pharma</v>
      </c>
      <c r="T50" s="2"/>
      <c r="U50" s="2"/>
      <c r="V50" s="2"/>
      <c r="W50" s="2"/>
      <c r="X50" s="2"/>
      <c r="Y50" s="2"/>
      <c r="Z50" s="2"/>
    </row>
    <row r="51" spans="1:26" ht="19.95" customHeight="1">
      <c r="A51" s="30" t="s">
        <v>403</v>
      </c>
      <c r="B51" s="18" t="s">
        <v>104</v>
      </c>
      <c r="C51" s="18" t="s">
        <v>404</v>
      </c>
      <c r="D51" s="18" t="s">
        <v>405</v>
      </c>
      <c r="E51" s="18" t="s">
        <v>342</v>
      </c>
      <c r="F51" s="18" t="s">
        <v>42</v>
      </c>
      <c r="G51" s="18" t="s">
        <v>18</v>
      </c>
      <c r="H51" s="18"/>
      <c r="I51" s="18"/>
      <c r="J51" s="42">
        <v>5</v>
      </c>
      <c r="K51" s="18" t="s">
        <v>290</v>
      </c>
      <c r="L51" s="18" t="s">
        <v>45</v>
      </c>
      <c r="M51" s="18" t="s">
        <v>267</v>
      </c>
      <c r="N51" s="18" t="s">
        <v>109</v>
      </c>
      <c r="O51" s="18" t="s">
        <v>268</v>
      </c>
      <c r="P51" s="44" t="s">
        <v>269</v>
      </c>
      <c r="Q51" s="31">
        <v>46295</v>
      </c>
      <c r="R51" s="43">
        <f t="shared" si="1"/>
        <v>4.5</v>
      </c>
      <c r="S51" s="35" t="str">
        <f>VLOOKUP(B51,Accounts!$A$6:$C$30,3,FALSE)</f>
        <v>Pharma</v>
      </c>
      <c r="T51" s="2"/>
      <c r="U51" s="2"/>
      <c r="V51" s="2"/>
      <c r="W51" s="2"/>
      <c r="X51" s="2"/>
      <c r="Y51" s="2"/>
      <c r="Z51" s="2"/>
    </row>
    <row r="52" spans="1:26" ht="19.95" customHeight="1">
      <c r="A52" s="28" t="s">
        <v>406</v>
      </c>
      <c r="B52" s="16" t="s">
        <v>104</v>
      </c>
      <c r="C52" s="16" t="s">
        <v>407</v>
      </c>
      <c r="D52" s="16" t="s">
        <v>408</v>
      </c>
      <c r="E52" s="16" t="s">
        <v>313</v>
      </c>
      <c r="F52" s="16" t="s">
        <v>40</v>
      </c>
      <c r="G52" s="16" t="s">
        <v>18</v>
      </c>
      <c r="H52" s="16"/>
      <c r="I52" s="16"/>
      <c r="J52" s="42">
        <v>4</v>
      </c>
      <c r="K52" s="16" t="s">
        <v>277</v>
      </c>
      <c r="L52" s="16" t="s">
        <v>47</v>
      </c>
      <c r="M52" s="16" t="s">
        <v>267</v>
      </c>
      <c r="N52" s="16" t="s">
        <v>109</v>
      </c>
      <c r="O52" s="16" t="s">
        <v>268</v>
      </c>
      <c r="P52" s="44" t="s">
        <v>269</v>
      </c>
      <c r="Q52" s="29">
        <v>46295</v>
      </c>
      <c r="R52" s="43">
        <f t="shared" si="1"/>
        <v>4</v>
      </c>
      <c r="S52" s="33" t="str">
        <f>VLOOKUP(B52,Accounts!$A$6:$C$30,3,FALSE)</f>
        <v>Pharma</v>
      </c>
      <c r="T52" s="2"/>
      <c r="U52" s="2"/>
      <c r="V52" s="2"/>
      <c r="W52" s="2"/>
      <c r="X52" s="2"/>
      <c r="Y52" s="2"/>
      <c r="Z52" s="2"/>
    </row>
    <row r="53" spans="1:26" ht="19.95" customHeight="1">
      <c r="A53" s="30" t="s">
        <v>409</v>
      </c>
      <c r="B53" s="18" t="s">
        <v>104</v>
      </c>
      <c r="C53" s="18" t="s">
        <v>410</v>
      </c>
      <c r="D53" s="18" t="s">
        <v>411</v>
      </c>
      <c r="E53" s="18" t="s">
        <v>313</v>
      </c>
      <c r="F53" s="18" t="s">
        <v>40</v>
      </c>
      <c r="G53" s="18" t="s">
        <v>18</v>
      </c>
      <c r="H53" s="18"/>
      <c r="I53" s="18"/>
      <c r="J53" s="42">
        <v>4</v>
      </c>
      <c r="K53" s="18" t="s">
        <v>277</v>
      </c>
      <c r="L53" s="18" t="s">
        <v>47</v>
      </c>
      <c r="M53" s="18" t="s">
        <v>267</v>
      </c>
      <c r="N53" s="18" t="s">
        <v>109</v>
      </c>
      <c r="O53" s="18" t="s">
        <v>268</v>
      </c>
      <c r="P53" s="44" t="s">
        <v>269</v>
      </c>
      <c r="Q53" s="31">
        <v>46295</v>
      </c>
      <c r="R53" s="43">
        <f t="shared" si="1"/>
        <v>4</v>
      </c>
      <c r="S53" s="35" t="str">
        <f>VLOOKUP(B53,Accounts!$A$6:$C$30,3,FALSE)</f>
        <v>Pharma</v>
      </c>
      <c r="T53" s="2"/>
      <c r="U53" s="2"/>
      <c r="V53" s="2"/>
      <c r="W53" s="2"/>
      <c r="X53" s="2"/>
      <c r="Y53" s="2"/>
      <c r="Z53" s="2"/>
    </row>
    <row r="54" spans="1:26" ht="19.95" customHeight="1">
      <c r="A54" s="28" t="s">
        <v>412</v>
      </c>
      <c r="B54" s="16" t="s">
        <v>104</v>
      </c>
      <c r="C54" s="16" t="s">
        <v>413</v>
      </c>
      <c r="D54" s="16" t="s">
        <v>414</v>
      </c>
      <c r="E54" s="16" t="s">
        <v>280</v>
      </c>
      <c r="F54" s="16" t="s">
        <v>42</v>
      </c>
      <c r="G54" s="16" t="s">
        <v>18</v>
      </c>
      <c r="H54" s="16"/>
      <c r="I54" s="16"/>
      <c r="J54" s="42">
        <v>4</v>
      </c>
      <c r="K54" s="16" t="s">
        <v>277</v>
      </c>
      <c r="L54" s="16" t="s">
        <v>47</v>
      </c>
      <c r="M54" s="16" t="s">
        <v>267</v>
      </c>
      <c r="N54" s="16" t="s">
        <v>109</v>
      </c>
      <c r="O54" s="16" t="s">
        <v>268</v>
      </c>
      <c r="P54" s="44" t="s">
        <v>269</v>
      </c>
      <c r="Q54" s="29">
        <v>46295</v>
      </c>
      <c r="R54" s="43">
        <f t="shared" si="1"/>
        <v>4</v>
      </c>
      <c r="S54" s="33" t="str">
        <f>VLOOKUP(B54,Accounts!$A$6:$C$30,3,FALSE)</f>
        <v>Pharma</v>
      </c>
      <c r="T54" s="2"/>
      <c r="U54" s="2"/>
      <c r="V54" s="2"/>
      <c r="W54" s="2"/>
      <c r="X54" s="2"/>
      <c r="Y54" s="2"/>
      <c r="Z54" s="2"/>
    </row>
    <row r="55" spans="1:26" ht="19.95" customHeight="1">
      <c r="A55" s="30" t="s">
        <v>415</v>
      </c>
      <c r="B55" s="18" t="s">
        <v>104</v>
      </c>
      <c r="C55" s="18" t="s">
        <v>416</v>
      </c>
      <c r="D55" s="18" t="s">
        <v>417</v>
      </c>
      <c r="E55" s="18" t="s">
        <v>289</v>
      </c>
      <c r="F55" s="18" t="s">
        <v>42</v>
      </c>
      <c r="G55" s="18" t="s">
        <v>18</v>
      </c>
      <c r="H55" s="18"/>
      <c r="I55" s="18"/>
      <c r="J55" s="42">
        <v>5</v>
      </c>
      <c r="K55" s="18" t="s">
        <v>290</v>
      </c>
      <c r="L55" s="18" t="s">
        <v>41</v>
      </c>
      <c r="M55" s="18" t="s">
        <v>267</v>
      </c>
      <c r="N55" s="18" t="s">
        <v>109</v>
      </c>
      <c r="O55" s="18" t="s">
        <v>268</v>
      </c>
      <c r="P55" s="44" t="s">
        <v>269</v>
      </c>
      <c r="Q55" s="31">
        <v>46295</v>
      </c>
      <c r="R55" s="43">
        <f t="shared" si="1"/>
        <v>4.5</v>
      </c>
      <c r="S55" s="35" t="str">
        <f>VLOOKUP(B55,Accounts!$A$6:$C$30,3,FALSE)</f>
        <v>Pharma</v>
      </c>
      <c r="T55" s="2"/>
      <c r="U55" s="2"/>
      <c r="V55" s="2"/>
      <c r="W55" s="2"/>
      <c r="X55" s="2"/>
      <c r="Y55" s="2"/>
      <c r="Z55" s="2"/>
    </row>
    <row r="56" spans="1:26" ht="19.95" customHeight="1">
      <c r="A56" s="28" t="s">
        <v>418</v>
      </c>
      <c r="B56" s="16" t="s">
        <v>104</v>
      </c>
      <c r="C56" s="16" t="s">
        <v>419</v>
      </c>
      <c r="D56" s="16" t="s">
        <v>420</v>
      </c>
      <c r="E56" s="16" t="s">
        <v>276</v>
      </c>
      <c r="F56" s="16" t="s">
        <v>42</v>
      </c>
      <c r="G56" s="16" t="s">
        <v>18</v>
      </c>
      <c r="H56" s="16"/>
      <c r="I56" s="16"/>
      <c r="J56" s="42">
        <v>4</v>
      </c>
      <c r="K56" s="16" t="s">
        <v>277</v>
      </c>
      <c r="L56" s="16" t="s">
        <v>47</v>
      </c>
      <c r="M56" s="16" t="s">
        <v>267</v>
      </c>
      <c r="N56" s="16" t="s">
        <v>109</v>
      </c>
      <c r="O56" s="16" t="s">
        <v>268</v>
      </c>
      <c r="P56" s="44" t="s">
        <v>269</v>
      </c>
      <c r="Q56" s="29">
        <v>46295</v>
      </c>
      <c r="R56" s="43">
        <f t="shared" si="1"/>
        <v>4</v>
      </c>
      <c r="S56" s="33" t="str">
        <f>VLOOKUP(B56,Accounts!$A$6:$C$30,3,FALSE)</f>
        <v>Pharma</v>
      </c>
      <c r="T56" s="2"/>
      <c r="U56" s="2"/>
      <c r="V56" s="2"/>
      <c r="W56" s="2"/>
      <c r="X56" s="2"/>
      <c r="Y56" s="2"/>
      <c r="Z56" s="2"/>
    </row>
    <row r="57" spans="1:26" ht="19.95" customHeight="1">
      <c r="A57" s="30" t="s">
        <v>421</v>
      </c>
      <c r="B57" s="18" t="s">
        <v>104</v>
      </c>
      <c r="C57" s="18" t="s">
        <v>422</v>
      </c>
      <c r="D57" s="18" t="s">
        <v>423</v>
      </c>
      <c r="E57" s="18" t="s">
        <v>326</v>
      </c>
      <c r="F57" s="18" t="s">
        <v>40</v>
      </c>
      <c r="G57" s="18" t="s">
        <v>18</v>
      </c>
      <c r="H57" s="18"/>
      <c r="I57" s="18"/>
      <c r="J57" s="42">
        <v>4</v>
      </c>
      <c r="K57" s="18" t="s">
        <v>277</v>
      </c>
      <c r="L57" s="18" t="s">
        <v>47</v>
      </c>
      <c r="M57" s="18" t="s">
        <v>267</v>
      </c>
      <c r="N57" s="18" t="s">
        <v>109</v>
      </c>
      <c r="O57" s="18" t="s">
        <v>268</v>
      </c>
      <c r="P57" s="44" t="s">
        <v>269</v>
      </c>
      <c r="Q57" s="31">
        <v>46295</v>
      </c>
      <c r="R57" s="43">
        <f t="shared" si="1"/>
        <v>4</v>
      </c>
      <c r="S57" s="35" t="str">
        <f>VLOOKUP(B57,Accounts!$A$6:$C$30,3,FALSE)</f>
        <v>Pharma</v>
      </c>
      <c r="T57" s="2"/>
      <c r="U57" s="2"/>
      <c r="V57" s="2"/>
      <c r="W57" s="2"/>
      <c r="X57" s="2"/>
      <c r="Y57" s="2"/>
      <c r="Z57" s="2"/>
    </row>
    <row r="58" spans="1:26" ht="19.95" customHeight="1">
      <c r="A58" s="28" t="s">
        <v>424</v>
      </c>
      <c r="B58" s="16" t="s">
        <v>104</v>
      </c>
      <c r="C58" s="16" t="s">
        <v>425</v>
      </c>
      <c r="D58" s="16" t="s">
        <v>426</v>
      </c>
      <c r="E58" s="16" t="s">
        <v>280</v>
      </c>
      <c r="F58" s="16" t="s">
        <v>42</v>
      </c>
      <c r="G58" s="16" t="s">
        <v>18</v>
      </c>
      <c r="H58" s="16"/>
      <c r="I58" s="16"/>
      <c r="J58" s="42">
        <v>4</v>
      </c>
      <c r="K58" s="16" t="s">
        <v>277</v>
      </c>
      <c r="L58" s="16" t="s">
        <v>47</v>
      </c>
      <c r="M58" s="16" t="s">
        <v>267</v>
      </c>
      <c r="N58" s="16" t="s">
        <v>109</v>
      </c>
      <c r="O58" s="16" t="s">
        <v>268</v>
      </c>
      <c r="P58" s="44" t="s">
        <v>269</v>
      </c>
      <c r="Q58" s="29">
        <v>46295</v>
      </c>
      <c r="R58" s="43">
        <f t="shared" si="1"/>
        <v>4</v>
      </c>
      <c r="S58" s="33" t="str">
        <f>VLOOKUP(B58,Accounts!$A$6:$C$30,3,FALSE)</f>
        <v>Pharma</v>
      </c>
      <c r="T58" s="2"/>
      <c r="U58" s="2"/>
      <c r="V58" s="2"/>
      <c r="W58" s="2"/>
      <c r="X58" s="2"/>
      <c r="Y58" s="2"/>
      <c r="Z58" s="2"/>
    </row>
    <row r="59" spans="1:26" ht="19.95" customHeight="1">
      <c r="A59" s="30" t="s">
        <v>427</v>
      </c>
      <c r="B59" s="18" t="s">
        <v>104</v>
      </c>
      <c r="C59" s="18" t="s">
        <v>428</v>
      </c>
      <c r="D59" s="18" t="s">
        <v>429</v>
      </c>
      <c r="E59" s="18" t="s">
        <v>289</v>
      </c>
      <c r="F59" s="18" t="s">
        <v>40</v>
      </c>
      <c r="G59" s="18" t="s">
        <v>18</v>
      </c>
      <c r="H59" s="18"/>
      <c r="I59" s="18"/>
      <c r="J59" s="42">
        <v>5</v>
      </c>
      <c r="K59" s="18" t="s">
        <v>290</v>
      </c>
      <c r="L59" s="18" t="s">
        <v>41</v>
      </c>
      <c r="M59" s="18" t="s">
        <v>267</v>
      </c>
      <c r="N59" s="18" t="s">
        <v>109</v>
      </c>
      <c r="O59" s="18" t="s">
        <v>268</v>
      </c>
      <c r="P59" s="44" t="s">
        <v>269</v>
      </c>
      <c r="Q59" s="31">
        <v>46295</v>
      </c>
      <c r="R59" s="43">
        <f t="shared" si="1"/>
        <v>4.5</v>
      </c>
      <c r="S59" s="35" t="str">
        <f>VLOOKUP(B59,Accounts!$A$6:$C$30,3,FALSE)</f>
        <v>Pharma</v>
      </c>
      <c r="T59" s="2"/>
      <c r="U59" s="2"/>
      <c r="V59" s="2"/>
      <c r="W59" s="2"/>
      <c r="X59" s="2"/>
      <c r="Y59" s="2"/>
      <c r="Z59" s="2"/>
    </row>
    <row r="60" spans="1:26" ht="19.95" customHeight="1">
      <c r="A60" s="28" t="s">
        <v>430</v>
      </c>
      <c r="B60" s="16" t="s">
        <v>104</v>
      </c>
      <c r="C60" s="16" t="s">
        <v>431</v>
      </c>
      <c r="D60" s="16" t="s">
        <v>432</v>
      </c>
      <c r="E60" s="16" t="s">
        <v>280</v>
      </c>
      <c r="F60" s="16" t="s">
        <v>42</v>
      </c>
      <c r="G60" s="16" t="s">
        <v>18</v>
      </c>
      <c r="H60" s="16"/>
      <c r="I60" s="16"/>
      <c r="J60" s="42">
        <v>4</v>
      </c>
      <c r="K60" s="16" t="s">
        <v>277</v>
      </c>
      <c r="L60" s="16" t="s">
        <v>47</v>
      </c>
      <c r="M60" s="16" t="s">
        <v>267</v>
      </c>
      <c r="N60" s="16" t="s">
        <v>109</v>
      </c>
      <c r="O60" s="16" t="s">
        <v>268</v>
      </c>
      <c r="P60" s="44" t="s">
        <v>269</v>
      </c>
      <c r="Q60" s="29">
        <v>46295</v>
      </c>
      <c r="R60" s="43">
        <f t="shared" si="1"/>
        <v>4</v>
      </c>
      <c r="S60" s="33" t="str">
        <f>VLOOKUP(B60,Accounts!$A$6:$C$30,3,FALSE)</f>
        <v>Pharma</v>
      </c>
      <c r="T60" s="2"/>
      <c r="U60" s="2"/>
      <c r="V60" s="2"/>
      <c r="W60" s="2"/>
      <c r="X60" s="2"/>
      <c r="Y60" s="2"/>
      <c r="Z60" s="2"/>
    </row>
    <row r="61" spans="1:26" ht="19.95" customHeight="1">
      <c r="A61" s="30" t="s">
        <v>433</v>
      </c>
      <c r="B61" s="18" t="s">
        <v>104</v>
      </c>
      <c r="C61" s="18" t="s">
        <v>434</v>
      </c>
      <c r="D61" s="18" t="s">
        <v>435</v>
      </c>
      <c r="E61" s="18" t="s">
        <v>280</v>
      </c>
      <c r="F61" s="18" t="s">
        <v>42</v>
      </c>
      <c r="G61" s="18" t="s">
        <v>18</v>
      </c>
      <c r="H61" s="18"/>
      <c r="I61" s="18"/>
      <c r="J61" s="42">
        <v>4</v>
      </c>
      <c r="K61" s="18" t="s">
        <v>277</v>
      </c>
      <c r="L61" s="18" t="s">
        <v>47</v>
      </c>
      <c r="M61" s="18" t="s">
        <v>267</v>
      </c>
      <c r="N61" s="18" t="s">
        <v>109</v>
      </c>
      <c r="O61" s="18" t="s">
        <v>268</v>
      </c>
      <c r="P61" s="44" t="s">
        <v>269</v>
      </c>
      <c r="Q61" s="31">
        <v>46295</v>
      </c>
      <c r="R61" s="43">
        <f t="shared" si="1"/>
        <v>4</v>
      </c>
      <c r="S61" s="35" t="str">
        <f>VLOOKUP(B61,Accounts!$A$6:$C$30,3,FALSE)</f>
        <v>Pharma</v>
      </c>
      <c r="T61" s="2"/>
      <c r="U61" s="2"/>
      <c r="V61" s="2"/>
      <c r="W61" s="2"/>
      <c r="X61" s="2"/>
      <c r="Y61" s="2"/>
      <c r="Z61" s="2"/>
    </row>
    <row r="62" spans="1:26" ht="19.95" customHeight="1">
      <c r="A62" s="28" t="s">
        <v>436</v>
      </c>
      <c r="B62" s="16" t="s">
        <v>104</v>
      </c>
      <c r="C62" s="16" t="s">
        <v>437</v>
      </c>
      <c r="D62" s="16" t="s">
        <v>438</v>
      </c>
      <c r="E62" s="16" t="s">
        <v>265</v>
      </c>
      <c r="F62" s="16" t="s">
        <v>42</v>
      </c>
      <c r="G62" s="16" t="s">
        <v>18</v>
      </c>
      <c r="H62" s="16"/>
      <c r="I62" s="16"/>
      <c r="J62" s="42">
        <v>4</v>
      </c>
      <c r="K62" s="16" t="s">
        <v>266</v>
      </c>
      <c r="L62" s="16" t="s">
        <v>47</v>
      </c>
      <c r="M62" s="16" t="s">
        <v>267</v>
      </c>
      <c r="N62" s="16" t="s">
        <v>109</v>
      </c>
      <c r="O62" s="16" t="s">
        <v>268</v>
      </c>
      <c r="P62" s="44" t="s">
        <v>269</v>
      </c>
      <c r="Q62" s="29">
        <v>46295</v>
      </c>
      <c r="R62" s="43">
        <f t="shared" si="1"/>
        <v>4.3</v>
      </c>
      <c r="S62" s="33" t="str">
        <f>VLOOKUP(B62,Accounts!$A$6:$C$30,3,FALSE)</f>
        <v>Pharma</v>
      </c>
      <c r="T62" s="2"/>
      <c r="U62" s="2"/>
      <c r="V62" s="2"/>
      <c r="W62" s="2"/>
      <c r="X62" s="2"/>
      <c r="Y62" s="2"/>
      <c r="Z62" s="2"/>
    </row>
    <row r="63" spans="1:26" ht="19.95" customHeight="1">
      <c r="A63" s="30" t="s">
        <v>439</v>
      </c>
      <c r="B63" s="18" t="s">
        <v>104</v>
      </c>
      <c r="C63" s="18" t="s">
        <v>440</v>
      </c>
      <c r="D63" s="18" t="s">
        <v>441</v>
      </c>
      <c r="E63" s="18" t="s">
        <v>280</v>
      </c>
      <c r="F63" s="18" t="s">
        <v>42</v>
      </c>
      <c r="G63" s="18" t="s">
        <v>18</v>
      </c>
      <c r="H63" s="18"/>
      <c r="I63" s="18"/>
      <c r="J63" s="42">
        <v>4</v>
      </c>
      <c r="K63" s="18" t="s">
        <v>277</v>
      </c>
      <c r="L63" s="18" t="s">
        <v>47</v>
      </c>
      <c r="M63" s="18" t="s">
        <v>267</v>
      </c>
      <c r="N63" s="18" t="s">
        <v>109</v>
      </c>
      <c r="O63" s="18" t="s">
        <v>268</v>
      </c>
      <c r="P63" s="44" t="s">
        <v>269</v>
      </c>
      <c r="Q63" s="31">
        <v>46295</v>
      </c>
      <c r="R63" s="43">
        <f t="shared" si="1"/>
        <v>4</v>
      </c>
      <c r="S63" s="35" t="str">
        <f>VLOOKUP(B63,Accounts!$A$6:$C$30,3,FALSE)</f>
        <v>Pharma</v>
      </c>
      <c r="T63" s="2"/>
      <c r="U63" s="2"/>
      <c r="V63" s="2"/>
      <c r="W63" s="2"/>
      <c r="X63" s="2"/>
      <c r="Y63" s="2"/>
      <c r="Z63" s="2"/>
    </row>
    <row r="64" spans="1:26" ht="19.95" customHeight="1">
      <c r="A64" s="28" t="s">
        <v>442</v>
      </c>
      <c r="B64" s="16" t="s">
        <v>110</v>
      </c>
      <c r="C64" s="16" t="s">
        <v>443</v>
      </c>
      <c r="D64" s="16" t="s">
        <v>444</v>
      </c>
      <c r="E64" s="16" t="s">
        <v>265</v>
      </c>
      <c r="F64" s="16" t="s">
        <v>40</v>
      </c>
      <c r="G64" s="16" t="s">
        <v>18</v>
      </c>
      <c r="H64" s="16"/>
      <c r="I64" s="16"/>
      <c r="J64" s="42">
        <v>4</v>
      </c>
      <c r="K64" s="16" t="s">
        <v>266</v>
      </c>
      <c r="L64" s="16" t="s">
        <v>47</v>
      </c>
      <c r="M64" s="16" t="s">
        <v>267</v>
      </c>
      <c r="N64" s="16" t="s">
        <v>115</v>
      </c>
      <c r="O64" s="16" t="s">
        <v>268</v>
      </c>
      <c r="P64" s="44" t="s">
        <v>269</v>
      </c>
      <c r="Q64" s="29">
        <v>46295</v>
      </c>
      <c r="R64" s="43">
        <f t="shared" si="1"/>
        <v>4.3</v>
      </c>
      <c r="S64" s="33" t="str">
        <f>VLOOKUP(B64,Accounts!$A$6:$C$30,3,FALSE)</f>
        <v>Pharma</v>
      </c>
      <c r="T64" s="2"/>
      <c r="U64" s="2"/>
      <c r="V64" s="2"/>
      <c r="W64" s="2"/>
      <c r="X64" s="2"/>
      <c r="Y64" s="2"/>
      <c r="Z64" s="2"/>
    </row>
    <row r="65" spans="1:26" ht="19.95" customHeight="1">
      <c r="A65" s="30" t="s">
        <v>445</v>
      </c>
      <c r="B65" s="18" t="s">
        <v>110</v>
      </c>
      <c r="C65" s="18" t="s">
        <v>446</v>
      </c>
      <c r="D65" s="18" t="s">
        <v>447</v>
      </c>
      <c r="E65" s="18" t="s">
        <v>265</v>
      </c>
      <c r="F65" s="18" t="s">
        <v>40</v>
      </c>
      <c r="G65" s="18" t="s">
        <v>18</v>
      </c>
      <c r="H65" s="18"/>
      <c r="I65" s="18"/>
      <c r="J65" s="42">
        <v>4</v>
      </c>
      <c r="K65" s="18" t="s">
        <v>266</v>
      </c>
      <c r="L65" s="18" t="s">
        <v>47</v>
      </c>
      <c r="M65" s="18" t="s">
        <v>267</v>
      </c>
      <c r="N65" s="18" t="s">
        <v>115</v>
      </c>
      <c r="O65" s="18" t="s">
        <v>268</v>
      </c>
      <c r="P65" s="44" t="s">
        <v>269</v>
      </c>
      <c r="Q65" s="31">
        <v>46295</v>
      </c>
      <c r="R65" s="43">
        <f t="shared" si="1"/>
        <v>4.3</v>
      </c>
      <c r="S65" s="35" t="str">
        <f>VLOOKUP(B65,Accounts!$A$6:$C$30,3,FALSE)</f>
        <v>Pharma</v>
      </c>
      <c r="T65" s="2"/>
      <c r="U65" s="2"/>
      <c r="V65" s="2"/>
      <c r="W65" s="2"/>
      <c r="X65" s="2"/>
      <c r="Y65" s="2"/>
      <c r="Z65" s="2"/>
    </row>
    <row r="66" spans="1:26" ht="19.95" customHeight="1">
      <c r="A66" s="28" t="s">
        <v>448</v>
      </c>
      <c r="B66" s="16" t="s">
        <v>110</v>
      </c>
      <c r="C66" s="16" t="s">
        <v>449</v>
      </c>
      <c r="D66" s="16" t="s">
        <v>450</v>
      </c>
      <c r="E66" s="16" t="s">
        <v>265</v>
      </c>
      <c r="F66" s="16" t="s">
        <v>42</v>
      </c>
      <c r="G66" s="16" t="s">
        <v>18</v>
      </c>
      <c r="H66" s="16"/>
      <c r="I66" s="16"/>
      <c r="J66" s="42">
        <v>4</v>
      </c>
      <c r="K66" s="16" t="s">
        <v>266</v>
      </c>
      <c r="L66" s="16" t="s">
        <v>47</v>
      </c>
      <c r="M66" s="16" t="s">
        <v>267</v>
      </c>
      <c r="N66" s="16" t="s">
        <v>115</v>
      </c>
      <c r="O66" s="16" t="s">
        <v>268</v>
      </c>
      <c r="P66" s="44" t="s">
        <v>269</v>
      </c>
      <c r="Q66" s="29">
        <v>46295</v>
      </c>
      <c r="R66" s="43">
        <f t="shared" si="1"/>
        <v>4.3</v>
      </c>
      <c r="S66" s="33" t="str">
        <f>VLOOKUP(B66,Accounts!$A$6:$C$30,3,FALSE)</f>
        <v>Pharma</v>
      </c>
      <c r="T66" s="2"/>
      <c r="U66" s="2"/>
      <c r="V66" s="2"/>
      <c r="W66" s="2"/>
      <c r="X66" s="2"/>
      <c r="Y66" s="2"/>
      <c r="Z66" s="2"/>
    </row>
    <row r="67" spans="1:26" ht="19.95" customHeight="1">
      <c r="A67" s="30" t="s">
        <v>451</v>
      </c>
      <c r="B67" s="18" t="s">
        <v>110</v>
      </c>
      <c r="C67" s="18" t="s">
        <v>452</v>
      </c>
      <c r="D67" s="18" t="s">
        <v>453</v>
      </c>
      <c r="E67" s="18" t="s">
        <v>265</v>
      </c>
      <c r="F67" s="18" t="s">
        <v>46</v>
      </c>
      <c r="G67" s="18" t="s">
        <v>18</v>
      </c>
      <c r="H67" s="18"/>
      <c r="I67" s="18"/>
      <c r="J67" s="42">
        <v>4</v>
      </c>
      <c r="K67" s="18" t="s">
        <v>266</v>
      </c>
      <c r="L67" s="18" t="s">
        <v>47</v>
      </c>
      <c r="M67" s="18" t="s">
        <v>267</v>
      </c>
      <c r="N67" s="18" t="s">
        <v>115</v>
      </c>
      <c r="O67" s="18" t="s">
        <v>268</v>
      </c>
      <c r="P67" s="44" t="s">
        <v>269</v>
      </c>
      <c r="Q67" s="31">
        <v>46295</v>
      </c>
      <c r="R67" s="43">
        <f t="shared" si="1"/>
        <v>4.3</v>
      </c>
      <c r="S67" s="35" t="str">
        <f>VLOOKUP(B67,Accounts!$A$6:$C$30,3,FALSE)</f>
        <v>Pharma</v>
      </c>
      <c r="T67" s="2"/>
      <c r="U67" s="2"/>
      <c r="V67" s="2"/>
      <c r="W67" s="2"/>
      <c r="X67" s="2"/>
      <c r="Y67" s="2"/>
      <c r="Z67" s="2"/>
    </row>
    <row r="68" spans="1:26" ht="19.95" customHeight="1">
      <c r="A68" s="28" t="s">
        <v>454</v>
      </c>
      <c r="B68" s="16" t="s">
        <v>110</v>
      </c>
      <c r="C68" s="16" t="s">
        <v>455</v>
      </c>
      <c r="D68" s="16" t="s">
        <v>450</v>
      </c>
      <c r="E68" s="16" t="s">
        <v>265</v>
      </c>
      <c r="F68" s="16" t="s">
        <v>42</v>
      </c>
      <c r="G68" s="16" t="s">
        <v>18</v>
      </c>
      <c r="H68" s="16"/>
      <c r="I68" s="16"/>
      <c r="J68" s="42">
        <v>4</v>
      </c>
      <c r="K68" s="16" t="s">
        <v>266</v>
      </c>
      <c r="L68" s="16" t="s">
        <v>47</v>
      </c>
      <c r="M68" s="16" t="s">
        <v>267</v>
      </c>
      <c r="N68" s="16" t="s">
        <v>115</v>
      </c>
      <c r="O68" s="16" t="s">
        <v>268</v>
      </c>
      <c r="P68" s="44" t="s">
        <v>269</v>
      </c>
      <c r="Q68" s="29">
        <v>46295</v>
      </c>
      <c r="R68" s="43">
        <f t="shared" si="1"/>
        <v>4.3</v>
      </c>
      <c r="S68" s="33" t="str">
        <f>VLOOKUP(B68,Accounts!$A$6:$C$30,3,FALSE)</f>
        <v>Pharma</v>
      </c>
      <c r="T68" s="2"/>
      <c r="U68" s="2"/>
      <c r="V68" s="2"/>
      <c r="W68" s="2"/>
      <c r="X68" s="2"/>
      <c r="Y68" s="2"/>
      <c r="Z68" s="2"/>
    </row>
    <row r="69" spans="1:26" ht="19.95" customHeight="1">
      <c r="A69" s="30" t="s">
        <v>456</v>
      </c>
      <c r="B69" s="18" t="s">
        <v>110</v>
      </c>
      <c r="C69" s="18" t="s">
        <v>457</v>
      </c>
      <c r="D69" s="18" t="s">
        <v>286</v>
      </c>
      <c r="E69" s="18" t="s">
        <v>265</v>
      </c>
      <c r="F69" s="18" t="s">
        <v>46</v>
      </c>
      <c r="G69" s="18" t="s">
        <v>18</v>
      </c>
      <c r="H69" s="18"/>
      <c r="I69" s="18"/>
      <c r="J69" s="42">
        <v>4</v>
      </c>
      <c r="K69" s="18" t="s">
        <v>266</v>
      </c>
      <c r="L69" s="18" t="s">
        <v>47</v>
      </c>
      <c r="M69" s="18" t="s">
        <v>267</v>
      </c>
      <c r="N69" s="18" t="s">
        <v>115</v>
      </c>
      <c r="O69" s="18" t="s">
        <v>268</v>
      </c>
      <c r="P69" s="44" t="s">
        <v>269</v>
      </c>
      <c r="Q69" s="31">
        <v>46295</v>
      </c>
      <c r="R69" s="43">
        <f t="shared" si="1"/>
        <v>4.3</v>
      </c>
      <c r="S69" s="35" t="str">
        <f>VLOOKUP(B69,Accounts!$A$6:$C$30,3,FALSE)</f>
        <v>Pharma</v>
      </c>
      <c r="T69" s="2"/>
      <c r="U69" s="2"/>
      <c r="V69" s="2"/>
      <c r="W69" s="2"/>
      <c r="X69" s="2"/>
      <c r="Y69" s="2"/>
      <c r="Z69" s="2"/>
    </row>
    <row r="70" spans="1:26" ht="19.95" customHeight="1">
      <c r="A70" s="28" t="s">
        <v>458</v>
      </c>
      <c r="B70" s="16" t="s">
        <v>110</v>
      </c>
      <c r="C70" s="16" t="s">
        <v>459</v>
      </c>
      <c r="D70" s="16" t="s">
        <v>286</v>
      </c>
      <c r="E70" s="16" t="s">
        <v>265</v>
      </c>
      <c r="F70" s="16" t="s">
        <v>46</v>
      </c>
      <c r="G70" s="16" t="s">
        <v>18</v>
      </c>
      <c r="H70" s="16"/>
      <c r="I70" s="16"/>
      <c r="J70" s="42">
        <v>4</v>
      </c>
      <c r="K70" s="16" t="s">
        <v>266</v>
      </c>
      <c r="L70" s="16" t="s">
        <v>47</v>
      </c>
      <c r="M70" s="16" t="s">
        <v>267</v>
      </c>
      <c r="N70" s="16" t="s">
        <v>115</v>
      </c>
      <c r="O70" s="16" t="s">
        <v>268</v>
      </c>
      <c r="P70" s="44" t="s">
        <v>269</v>
      </c>
      <c r="Q70" s="29">
        <v>46295</v>
      </c>
      <c r="R70" s="43">
        <f t="shared" ref="R70:R105" si="2">ROUND((J70*0.7)+IF(K70="Economic Buyer",1.5,IF(K70="Champion",1.2,IF(K70="Technical Evaluator",1,0.7))),1)</f>
        <v>4.3</v>
      </c>
      <c r="S70" s="33" t="str">
        <f>VLOOKUP(B70,Accounts!$A$6:$C$30,3,FALSE)</f>
        <v>Pharma</v>
      </c>
      <c r="T70" s="2"/>
      <c r="U70" s="2"/>
      <c r="V70" s="2"/>
      <c r="W70" s="2"/>
      <c r="X70" s="2"/>
      <c r="Y70" s="2"/>
      <c r="Z70" s="2"/>
    </row>
    <row r="71" spans="1:26" ht="19.95" customHeight="1">
      <c r="A71" s="30" t="s">
        <v>460</v>
      </c>
      <c r="B71" s="18" t="s">
        <v>110</v>
      </c>
      <c r="C71" s="18" t="s">
        <v>461</v>
      </c>
      <c r="D71" s="18" t="s">
        <v>462</v>
      </c>
      <c r="E71" s="18" t="s">
        <v>289</v>
      </c>
      <c r="F71" s="18" t="s">
        <v>40</v>
      </c>
      <c r="G71" s="18" t="s">
        <v>18</v>
      </c>
      <c r="H71" s="18"/>
      <c r="I71" s="18"/>
      <c r="J71" s="42">
        <v>5</v>
      </c>
      <c r="K71" s="18" t="s">
        <v>290</v>
      </c>
      <c r="L71" s="18" t="s">
        <v>41</v>
      </c>
      <c r="M71" s="18" t="s">
        <v>267</v>
      </c>
      <c r="N71" s="18" t="s">
        <v>115</v>
      </c>
      <c r="O71" s="18" t="s">
        <v>268</v>
      </c>
      <c r="P71" s="44" t="s">
        <v>269</v>
      </c>
      <c r="Q71" s="31">
        <v>46295</v>
      </c>
      <c r="R71" s="43">
        <f t="shared" si="2"/>
        <v>4.5</v>
      </c>
      <c r="S71" s="35" t="str">
        <f>VLOOKUP(B71,Accounts!$A$6:$C$30,3,FALSE)</f>
        <v>Pharma</v>
      </c>
      <c r="T71" s="2"/>
      <c r="U71" s="2"/>
      <c r="V71" s="2"/>
      <c r="W71" s="2"/>
      <c r="X71" s="2"/>
      <c r="Y71" s="2"/>
      <c r="Z71" s="2"/>
    </row>
    <row r="72" spans="1:26" ht="19.95" customHeight="1">
      <c r="A72" s="28" t="s">
        <v>463</v>
      </c>
      <c r="B72" s="16" t="s">
        <v>110</v>
      </c>
      <c r="C72" s="16" t="s">
        <v>464</v>
      </c>
      <c r="D72" s="16" t="s">
        <v>286</v>
      </c>
      <c r="E72" s="16" t="s">
        <v>265</v>
      </c>
      <c r="F72" s="16" t="s">
        <v>46</v>
      </c>
      <c r="G72" s="16" t="s">
        <v>18</v>
      </c>
      <c r="H72" s="16"/>
      <c r="I72" s="16"/>
      <c r="J72" s="42">
        <v>4</v>
      </c>
      <c r="K72" s="16" t="s">
        <v>266</v>
      </c>
      <c r="L72" s="16" t="s">
        <v>47</v>
      </c>
      <c r="M72" s="16" t="s">
        <v>267</v>
      </c>
      <c r="N72" s="16" t="s">
        <v>115</v>
      </c>
      <c r="O72" s="16" t="s">
        <v>268</v>
      </c>
      <c r="P72" s="44" t="s">
        <v>269</v>
      </c>
      <c r="Q72" s="29">
        <v>46295</v>
      </c>
      <c r="R72" s="43">
        <f t="shared" si="2"/>
        <v>4.3</v>
      </c>
      <c r="S72" s="33" t="str">
        <f>VLOOKUP(B72,Accounts!$A$6:$C$30,3,FALSE)</f>
        <v>Pharma</v>
      </c>
      <c r="T72" s="2"/>
      <c r="U72" s="2"/>
      <c r="V72" s="2"/>
      <c r="W72" s="2"/>
      <c r="X72" s="2"/>
      <c r="Y72" s="2"/>
      <c r="Z72" s="2"/>
    </row>
    <row r="73" spans="1:26" ht="19.95" customHeight="1">
      <c r="A73" s="30" t="s">
        <v>465</v>
      </c>
      <c r="B73" s="18" t="s">
        <v>116</v>
      </c>
      <c r="C73" s="18" t="s">
        <v>466</v>
      </c>
      <c r="D73" s="18" t="s">
        <v>467</v>
      </c>
      <c r="E73" s="18" t="s">
        <v>265</v>
      </c>
      <c r="F73" s="18" t="s">
        <v>40</v>
      </c>
      <c r="G73" s="18" t="s">
        <v>18</v>
      </c>
      <c r="H73" s="18"/>
      <c r="I73" s="18"/>
      <c r="J73" s="42">
        <v>4</v>
      </c>
      <c r="K73" s="18" t="s">
        <v>266</v>
      </c>
      <c r="L73" s="18" t="s">
        <v>47</v>
      </c>
      <c r="M73" s="18" t="s">
        <v>267</v>
      </c>
      <c r="N73" s="18" t="s">
        <v>124</v>
      </c>
      <c r="O73" s="18" t="s">
        <v>268</v>
      </c>
      <c r="P73" s="44" t="s">
        <v>269</v>
      </c>
      <c r="Q73" s="31">
        <v>46295</v>
      </c>
      <c r="R73" s="43">
        <f t="shared" si="2"/>
        <v>4.3</v>
      </c>
      <c r="S73" s="35" t="str">
        <f>VLOOKUP(B73,Accounts!$A$6:$C$30,3,FALSE)</f>
        <v>Pharma</v>
      </c>
      <c r="T73" s="2"/>
      <c r="U73" s="2"/>
      <c r="V73" s="2"/>
      <c r="W73" s="2"/>
      <c r="X73" s="2"/>
      <c r="Y73" s="2"/>
      <c r="Z73" s="2"/>
    </row>
    <row r="74" spans="1:26" ht="19.95" customHeight="1">
      <c r="A74" s="28" t="s">
        <v>468</v>
      </c>
      <c r="B74" s="16" t="s">
        <v>116</v>
      </c>
      <c r="C74" s="16" t="s">
        <v>469</v>
      </c>
      <c r="D74" s="16" t="s">
        <v>272</v>
      </c>
      <c r="E74" s="16" t="s">
        <v>265</v>
      </c>
      <c r="F74" s="16" t="s">
        <v>40</v>
      </c>
      <c r="G74" s="16" t="s">
        <v>18</v>
      </c>
      <c r="H74" s="16"/>
      <c r="I74" s="16"/>
      <c r="J74" s="42">
        <v>4</v>
      </c>
      <c r="K74" s="16" t="s">
        <v>266</v>
      </c>
      <c r="L74" s="16" t="s">
        <v>47</v>
      </c>
      <c r="M74" s="16" t="s">
        <v>267</v>
      </c>
      <c r="N74" s="16" t="s">
        <v>124</v>
      </c>
      <c r="O74" s="16" t="s">
        <v>268</v>
      </c>
      <c r="P74" s="44" t="s">
        <v>269</v>
      </c>
      <c r="Q74" s="29">
        <v>46295</v>
      </c>
      <c r="R74" s="43">
        <f t="shared" si="2"/>
        <v>4.3</v>
      </c>
      <c r="S74" s="33" t="str">
        <f>VLOOKUP(B74,Accounts!$A$6:$C$30,3,FALSE)</f>
        <v>Pharma</v>
      </c>
      <c r="T74" s="2"/>
      <c r="U74" s="2"/>
      <c r="V74" s="2"/>
      <c r="W74" s="2"/>
      <c r="X74" s="2"/>
      <c r="Y74" s="2"/>
      <c r="Z74" s="2"/>
    </row>
    <row r="75" spans="1:26" ht="19.95" customHeight="1">
      <c r="A75" s="30" t="s">
        <v>470</v>
      </c>
      <c r="B75" s="18" t="s">
        <v>116</v>
      </c>
      <c r="C75" s="18" t="s">
        <v>471</v>
      </c>
      <c r="D75" s="18" t="s">
        <v>272</v>
      </c>
      <c r="E75" s="18" t="s">
        <v>265</v>
      </c>
      <c r="F75" s="18" t="s">
        <v>40</v>
      </c>
      <c r="G75" s="18" t="s">
        <v>18</v>
      </c>
      <c r="H75" s="18"/>
      <c r="I75" s="18"/>
      <c r="J75" s="42">
        <v>4</v>
      </c>
      <c r="K75" s="18" t="s">
        <v>266</v>
      </c>
      <c r="L75" s="18" t="s">
        <v>47</v>
      </c>
      <c r="M75" s="18" t="s">
        <v>267</v>
      </c>
      <c r="N75" s="18" t="s">
        <v>124</v>
      </c>
      <c r="O75" s="18" t="s">
        <v>268</v>
      </c>
      <c r="P75" s="44" t="s">
        <v>269</v>
      </c>
      <c r="Q75" s="31">
        <v>46295</v>
      </c>
      <c r="R75" s="43">
        <f t="shared" si="2"/>
        <v>4.3</v>
      </c>
      <c r="S75" s="35" t="str">
        <f>VLOOKUP(B75,Accounts!$A$6:$C$30,3,FALSE)</f>
        <v>Pharma</v>
      </c>
      <c r="T75" s="2"/>
      <c r="U75" s="2"/>
      <c r="V75" s="2"/>
      <c r="W75" s="2"/>
      <c r="X75" s="2"/>
      <c r="Y75" s="2"/>
      <c r="Z75" s="2"/>
    </row>
    <row r="76" spans="1:26" ht="19.95" customHeight="1">
      <c r="A76" s="28" t="s">
        <v>472</v>
      </c>
      <c r="B76" s="16" t="s">
        <v>116</v>
      </c>
      <c r="C76" s="16" t="s">
        <v>473</v>
      </c>
      <c r="D76" s="16" t="s">
        <v>474</v>
      </c>
      <c r="E76" s="16" t="s">
        <v>265</v>
      </c>
      <c r="F76" s="16" t="s">
        <v>46</v>
      </c>
      <c r="G76" s="16" t="s">
        <v>18</v>
      </c>
      <c r="H76" s="16"/>
      <c r="I76" s="16"/>
      <c r="J76" s="42">
        <v>4</v>
      </c>
      <c r="K76" s="16" t="s">
        <v>266</v>
      </c>
      <c r="L76" s="16" t="s">
        <v>47</v>
      </c>
      <c r="M76" s="16" t="s">
        <v>267</v>
      </c>
      <c r="N76" s="16" t="s">
        <v>124</v>
      </c>
      <c r="O76" s="16" t="s">
        <v>268</v>
      </c>
      <c r="P76" s="44" t="s">
        <v>269</v>
      </c>
      <c r="Q76" s="29">
        <v>46295</v>
      </c>
      <c r="R76" s="43">
        <f t="shared" si="2"/>
        <v>4.3</v>
      </c>
      <c r="S76" s="33" t="str">
        <f>VLOOKUP(B76,Accounts!$A$6:$C$30,3,FALSE)</f>
        <v>Pharma</v>
      </c>
      <c r="T76" s="2"/>
      <c r="U76" s="2"/>
      <c r="V76" s="2"/>
      <c r="W76" s="2"/>
      <c r="X76" s="2"/>
      <c r="Y76" s="2"/>
      <c r="Z76" s="2"/>
    </row>
    <row r="77" spans="1:26" ht="19.95" customHeight="1">
      <c r="A77" s="30" t="s">
        <v>475</v>
      </c>
      <c r="B77" s="18" t="s">
        <v>116</v>
      </c>
      <c r="C77" s="18" t="s">
        <v>476</v>
      </c>
      <c r="D77" s="18" t="s">
        <v>477</v>
      </c>
      <c r="E77" s="18" t="s">
        <v>265</v>
      </c>
      <c r="F77" s="18" t="s">
        <v>46</v>
      </c>
      <c r="G77" s="18" t="s">
        <v>18</v>
      </c>
      <c r="H77" s="18"/>
      <c r="I77" s="18"/>
      <c r="J77" s="42">
        <v>4</v>
      </c>
      <c r="K77" s="18" t="s">
        <v>266</v>
      </c>
      <c r="L77" s="18" t="s">
        <v>47</v>
      </c>
      <c r="M77" s="18" t="s">
        <v>267</v>
      </c>
      <c r="N77" s="18" t="s">
        <v>124</v>
      </c>
      <c r="O77" s="18" t="s">
        <v>268</v>
      </c>
      <c r="P77" s="44" t="s">
        <v>269</v>
      </c>
      <c r="Q77" s="31">
        <v>46295</v>
      </c>
      <c r="R77" s="43">
        <f t="shared" si="2"/>
        <v>4.3</v>
      </c>
      <c r="S77" s="35" t="str">
        <f>VLOOKUP(B77,Accounts!$A$6:$C$30,3,FALSE)</f>
        <v>Pharma</v>
      </c>
      <c r="T77" s="2"/>
      <c r="U77" s="2"/>
      <c r="V77" s="2"/>
      <c r="W77" s="2"/>
      <c r="X77" s="2"/>
      <c r="Y77" s="2"/>
      <c r="Z77" s="2"/>
    </row>
    <row r="78" spans="1:26" ht="19.95" customHeight="1">
      <c r="A78" s="28" t="s">
        <v>478</v>
      </c>
      <c r="B78" s="16" t="s">
        <v>116</v>
      </c>
      <c r="C78" s="16" t="s">
        <v>479</v>
      </c>
      <c r="D78" s="16" t="s">
        <v>480</v>
      </c>
      <c r="E78" s="16" t="s">
        <v>265</v>
      </c>
      <c r="F78" s="16" t="s">
        <v>42</v>
      </c>
      <c r="G78" s="16" t="s">
        <v>18</v>
      </c>
      <c r="H78" s="16"/>
      <c r="I78" s="16"/>
      <c r="J78" s="42">
        <v>4</v>
      </c>
      <c r="K78" s="16" t="s">
        <v>266</v>
      </c>
      <c r="L78" s="16" t="s">
        <v>47</v>
      </c>
      <c r="M78" s="16" t="s">
        <v>267</v>
      </c>
      <c r="N78" s="16" t="s">
        <v>124</v>
      </c>
      <c r="O78" s="16" t="s">
        <v>268</v>
      </c>
      <c r="P78" s="44" t="s">
        <v>269</v>
      </c>
      <c r="Q78" s="29">
        <v>46295</v>
      </c>
      <c r="R78" s="43">
        <f t="shared" si="2"/>
        <v>4.3</v>
      </c>
      <c r="S78" s="33" t="str">
        <f>VLOOKUP(B78,Accounts!$A$6:$C$30,3,FALSE)</f>
        <v>Pharma</v>
      </c>
      <c r="T78" s="2"/>
      <c r="U78" s="2"/>
      <c r="V78" s="2"/>
      <c r="W78" s="2"/>
      <c r="X78" s="2"/>
      <c r="Y78" s="2"/>
      <c r="Z78" s="2"/>
    </row>
    <row r="79" spans="1:26" ht="19.95" customHeight="1">
      <c r="A79" s="30" t="s">
        <v>481</v>
      </c>
      <c r="B79" s="18" t="s">
        <v>125</v>
      </c>
      <c r="C79" s="18" t="s">
        <v>482</v>
      </c>
      <c r="D79" s="18" t="s">
        <v>272</v>
      </c>
      <c r="E79" s="18" t="s">
        <v>265</v>
      </c>
      <c r="F79" s="18" t="s">
        <v>40</v>
      </c>
      <c r="G79" s="18" t="s">
        <v>18</v>
      </c>
      <c r="H79" s="18"/>
      <c r="I79" s="18"/>
      <c r="J79" s="42">
        <v>4</v>
      </c>
      <c r="K79" s="18" t="s">
        <v>266</v>
      </c>
      <c r="L79" s="18" t="s">
        <v>47</v>
      </c>
      <c r="M79" s="18" t="s">
        <v>267</v>
      </c>
      <c r="N79" s="18" t="s">
        <v>132</v>
      </c>
      <c r="O79" s="18" t="s">
        <v>268</v>
      </c>
      <c r="P79" s="44" t="s">
        <v>269</v>
      </c>
      <c r="Q79" s="31">
        <v>46295</v>
      </c>
      <c r="R79" s="43">
        <f t="shared" si="2"/>
        <v>4.3</v>
      </c>
      <c r="S79" s="35" t="str">
        <f>VLOOKUP(B79,Accounts!$A$6:$C$30,3,FALSE)</f>
        <v>Pharma</v>
      </c>
      <c r="T79" s="2"/>
      <c r="U79" s="2"/>
      <c r="V79" s="2"/>
      <c r="W79" s="2"/>
      <c r="X79" s="2"/>
      <c r="Y79" s="2"/>
      <c r="Z79" s="2"/>
    </row>
    <row r="80" spans="1:26" ht="19.95" customHeight="1">
      <c r="A80" s="28" t="s">
        <v>483</v>
      </c>
      <c r="B80" s="16" t="s">
        <v>125</v>
      </c>
      <c r="C80" s="16" t="s">
        <v>484</v>
      </c>
      <c r="D80" s="16" t="s">
        <v>299</v>
      </c>
      <c r="E80" s="16" t="s">
        <v>265</v>
      </c>
      <c r="F80" s="16" t="s">
        <v>40</v>
      </c>
      <c r="G80" s="16" t="s">
        <v>18</v>
      </c>
      <c r="H80" s="16"/>
      <c r="I80" s="16"/>
      <c r="J80" s="42">
        <v>4</v>
      </c>
      <c r="K80" s="16" t="s">
        <v>266</v>
      </c>
      <c r="L80" s="16" t="s">
        <v>47</v>
      </c>
      <c r="M80" s="16" t="s">
        <v>267</v>
      </c>
      <c r="N80" s="16" t="s">
        <v>132</v>
      </c>
      <c r="O80" s="16" t="s">
        <v>268</v>
      </c>
      <c r="P80" s="44" t="s">
        <v>269</v>
      </c>
      <c r="Q80" s="29">
        <v>46295</v>
      </c>
      <c r="R80" s="43">
        <f t="shared" si="2"/>
        <v>4.3</v>
      </c>
      <c r="S80" s="33" t="str">
        <f>VLOOKUP(B80,Accounts!$A$6:$C$30,3,FALSE)</f>
        <v>Pharma</v>
      </c>
      <c r="T80" s="2"/>
      <c r="U80" s="2"/>
      <c r="V80" s="2"/>
      <c r="W80" s="2"/>
      <c r="X80" s="2"/>
      <c r="Y80" s="2"/>
      <c r="Z80" s="2"/>
    </row>
    <row r="81" spans="1:26" ht="19.95" customHeight="1">
      <c r="A81" s="30" t="s">
        <v>485</v>
      </c>
      <c r="B81" s="18" t="s">
        <v>125</v>
      </c>
      <c r="C81" s="18" t="s">
        <v>486</v>
      </c>
      <c r="D81" s="18" t="s">
        <v>487</v>
      </c>
      <c r="E81" s="18" t="s">
        <v>265</v>
      </c>
      <c r="F81" s="18" t="s">
        <v>42</v>
      </c>
      <c r="G81" s="18" t="s">
        <v>18</v>
      </c>
      <c r="H81" s="18"/>
      <c r="I81" s="18"/>
      <c r="J81" s="42">
        <v>4</v>
      </c>
      <c r="K81" s="18" t="s">
        <v>266</v>
      </c>
      <c r="L81" s="18" t="s">
        <v>47</v>
      </c>
      <c r="M81" s="18" t="s">
        <v>267</v>
      </c>
      <c r="N81" s="18" t="s">
        <v>132</v>
      </c>
      <c r="O81" s="18" t="s">
        <v>268</v>
      </c>
      <c r="P81" s="44" t="s">
        <v>269</v>
      </c>
      <c r="Q81" s="31">
        <v>46295</v>
      </c>
      <c r="R81" s="43">
        <f t="shared" si="2"/>
        <v>4.3</v>
      </c>
      <c r="S81" s="35" t="str">
        <f>VLOOKUP(B81,Accounts!$A$6:$C$30,3,FALSE)</f>
        <v>Pharma</v>
      </c>
      <c r="T81" s="2"/>
      <c r="U81" s="2"/>
      <c r="V81" s="2"/>
      <c r="W81" s="2"/>
      <c r="X81" s="2"/>
      <c r="Y81" s="2"/>
      <c r="Z81" s="2"/>
    </row>
    <row r="82" spans="1:26" ht="19.95" customHeight="1">
      <c r="A82" s="28" t="s">
        <v>488</v>
      </c>
      <c r="B82" s="16" t="s">
        <v>125</v>
      </c>
      <c r="C82" s="16" t="s">
        <v>489</v>
      </c>
      <c r="D82" s="16" t="s">
        <v>490</v>
      </c>
      <c r="E82" s="16" t="s">
        <v>280</v>
      </c>
      <c r="F82" s="16" t="s">
        <v>42</v>
      </c>
      <c r="G82" s="16" t="s">
        <v>18</v>
      </c>
      <c r="H82" s="16"/>
      <c r="I82" s="16"/>
      <c r="J82" s="42">
        <v>4</v>
      </c>
      <c r="K82" s="16" t="s">
        <v>277</v>
      </c>
      <c r="L82" s="16" t="s">
        <v>47</v>
      </c>
      <c r="M82" s="16" t="s">
        <v>267</v>
      </c>
      <c r="N82" s="16" t="s">
        <v>132</v>
      </c>
      <c r="O82" s="16" t="s">
        <v>268</v>
      </c>
      <c r="P82" s="44" t="s">
        <v>269</v>
      </c>
      <c r="Q82" s="29">
        <v>46295</v>
      </c>
      <c r="R82" s="43">
        <f t="shared" si="2"/>
        <v>4</v>
      </c>
      <c r="S82" s="33" t="str">
        <f>VLOOKUP(B82,Accounts!$A$6:$C$30,3,FALSE)</f>
        <v>Pharma</v>
      </c>
      <c r="T82" s="2"/>
      <c r="U82" s="2"/>
      <c r="V82" s="2"/>
      <c r="W82" s="2"/>
      <c r="X82" s="2"/>
      <c r="Y82" s="2"/>
      <c r="Z82" s="2"/>
    </row>
    <row r="83" spans="1:26" ht="19.95" customHeight="1">
      <c r="A83" s="30" t="s">
        <v>491</v>
      </c>
      <c r="B83" s="18" t="s">
        <v>125</v>
      </c>
      <c r="C83" s="18" t="s">
        <v>492</v>
      </c>
      <c r="D83" s="18" t="s">
        <v>493</v>
      </c>
      <c r="E83" s="18" t="s">
        <v>280</v>
      </c>
      <c r="F83" s="18" t="s">
        <v>42</v>
      </c>
      <c r="G83" s="18" t="s">
        <v>18</v>
      </c>
      <c r="H83" s="18"/>
      <c r="I83" s="18"/>
      <c r="J83" s="42">
        <v>4</v>
      </c>
      <c r="K83" s="18" t="s">
        <v>277</v>
      </c>
      <c r="L83" s="18" t="s">
        <v>47</v>
      </c>
      <c r="M83" s="18" t="s">
        <v>267</v>
      </c>
      <c r="N83" s="18" t="s">
        <v>132</v>
      </c>
      <c r="O83" s="18" t="s">
        <v>268</v>
      </c>
      <c r="P83" s="44" t="s">
        <v>269</v>
      </c>
      <c r="Q83" s="31">
        <v>46295</v>
      </c>
      <c r="R83" s="43">
        <f t="shared" si="2"/>
        <v>4</v>
      </c>
      <c r="S83" s="35" t="str">
        <f>VLOOKUP(B83,Accounts!$A$6:$C$30,3,FALSE)</f>
        <v>Pharma</v>
      </c>
      <c r="T83" s="2"/>
      <c r="U83" s="2"/>
      <c r="V83" s="2"/>
      <c r="W83" s="2"/>
      <c r="X83" s="2"/>
      <c r="Y83" s="2"/>
      <c r="Z83" s="2"/>
    </row>
    <row r="84" spans="1:26" ht="19.95" customHeight="1">
      <c r="A84" s="28" t="s">
        <v>494</v>
      </c>
      <c r="B84" s="16" t="s">
        <v>125</v>
      </c>
      <c r="C84" s="16" t="s">
        <v>495</v>
      </c>
      <c r="D84" s="16" t="s">
        <v>496</v>
      </c>
      <c r="E84" s="16" t="s">
        <v>326</v>
      </c>
      <c r="F84" s="16" t="s">
        <v>42</v>
      </c>
      <c r="G84" s="16" t="s">
        <v>18</v>
      </c>
      <c r="H84" s="16"/>
      <c r="I84" s="16"/>
      <c r="J84" s="42">
        <v>4</v>
      </c>
      <c r="K84" s="16" t="s">
        <v>277</v>
      </c>
      <c r="L84" s="16" t="s">
        <v>47</v>
      </c>
      <c r="M84" s="16" t="s">
        <v>267</v>
      </c>
      <c r="N84" s="16" t="s">
        <v>132</v>
      </c>
      <c r="O84" s="16" t="s">
        <v>268</v>
      </c>
      <c r="P84" s="44" t="s">
        <v>269</v>
      </c>
      <c r="Q84" s="29">
        <v>46295</v>
      </c>
      <c r="R84" s="43">
        <f t="shared" si="2"/>
        <v>4</v>
      </c>
      <c r="S84" s="33" t="str">
        <f>VLOOKUP(B84,Accounts!$A$6:$C$30,3,FALSE)</f>
        <v>Pharma</v>
      </c>
      <c r="T84" s="2"/>
      <c r="U84" s="2"/>
      <c r="V84" s="2"/>
      <c r="W84" s="2"/>
      <c r="X84" s="2"/>
      <c r="Y84" s="2"/>
      <c r="Z84" s="2"/>
    </row>
    <row r="85" spans="1:26" ht="19.95" customHeight="1">
      <c r="A85" s="30" t="s">
        <v>497</v>
      </c>
      <c r="B85" s="18" t="s">
        <v>125</v>
      </c>
      <c r="C85" s="18" t="s">
        <v>498</v>
      </c>
      <c r="D85" s="18" t="s">
        <v>499</v>
      </c>
      <c r="E85" s="18" t="s">
        <v>326</v>
      </c>
      <c r="F85" s="18" t="s">
        <v>42</v>
      </c>
      <c r="G85" s="18" t="s">
        <v>18</v>
      </c>
      <c r="H85" s="18"/>
      <c r="I85" s="18"/>
      <c r="J85" s="42">
        <v>4</v>
      </c>
      <c r="K85" s="18" t="s">
        <v>277</v>
      </c>
      <c r="L85" s="18" t="s">
        <v>47</v>
      </c>
      <c r="M85" s="18" t="s">
        <v>267</v>
      </c>
      <c r="N85" s="18" t="s">
        <v>132</v>
      </c>
      <c r="O85" s="18" t="s">
        <v>268</v>
      </c>
      <c r="P85" s="44" t="s">
        <v>269</v>
      </c>
      <c r="Q85" s="31">
        <v>46295</v>
      </c>
      <c r="R85" s="43">
        <f t="shared" si="2"/>
        <v>4</v>
      </c>
      <c r="S85" s="35" t="str">
        <f>VLOOKUP(B85,Accounts!$A$6:$C$30,3,FALSE)</f>
        <v>Pharma</v>
      </c>
      <c r="T85" s="2"/>
      <c r="U85" s="2"/>
      <c r="V85" s="2"/>
      <c r="W85" s="2"/>
      <c r="X85" s="2"/>
      <c r="Y85" s="2"/>
      <c r="Z85" s="2"/>
    </row>
    <row r="86" spans="1:26" ht="19.95" customHeight="1">
      <c r="A86" s="28" t="s">
        <v>500</v>
      </c>
      <c r="B86" s="16" t="s">
        <v>125</v>
      </c>
      <c r="C86" s="16" t="s">
        <v>501</v>
      </c>
      <c r="D86" s="16" t="s">
        <v>502</v>
      </c>
      <c r="E86" s="16" t="s">
        <v>265</v>
      </c>
      <c r="F86" s="16" t="s">
        <v>42</v>
      </c>
      <c r="G86" s="16" t="s">
        <v>18</v>
      </c>
      <c r="H86" s="16"/>
      <c r="I86" s="16"/>
      <c r="J86" s="42">
        <v>4</v>
      </c>
      <c r="K86" s="16" t="s">
        <v>266</v>
      </c>
      <c r="L86" s="16" t="s">
        <v>47</v>
      </c>
      <c r="M86" s="16" t="s">
        <v>267</v>
      </c>
      <c r="N86" s="16" t="s">
        <v>132</v>
      </c>
      <c r="O86" s="16" t="s">
        <v>268</v>
      </c>
      <c r="P86" s="44" t="s">
        <v>269</v>
      </c>
      <c r="Q86" s="29">
        <v>46295</v>
      </c>
      <c r="R86" s="43">
        <f t="shared" si="2"/>
        <v>4.3</v>
      </c>
      <c r="S86" s="33" t="str">
        <f>VLOOKUP(B86,Accounts!$A$6:$C$30,3,FALSE)</f>
        <v>Pharma</v>
      </c>
      <c r="T86" s="2"/>
      <c r="U86" s="2"/>
      <c r="V86" s="2"/>
      <c r="W86" s="2"/>
      <c r="X86" s="2"/>
      <c r="Y86" s="2"/>
      <c r="Z86" s="2"/>
    </row>
    <row r="87" spans="1:26" ht="19.95" customHeight="1">
      <c r="A87" s="30" t="s">
        <v>503</v>
      </c>
      <c r="B87" s="18" t="s">
        <v>125</v>
      </c>
      <c r="C87" s="18" t="s">
        <v>504</v>
      </c>
      <c r="D87" s="18" t="s">
        <v>505</v>
      </c>
      <c r="E87" s="18" t="s">
        <v>280</v>
      </c>
      <c r="F87" s="18" t="s">
        <v>42</v>
      </c>
      <c r="G87" s="18" t="s">
        <v>18</v>
      </c>
      <c r="H87" s="18"/>
      <c r="I87" s="18"/>
      <c r="J87" s="42">
        <v>4</v>
      </c>
      <c r="K87" s="18" t="s">
        <v>277</v>
      </c>
      <c r="L87" s="18" t="s">
        <v>47</v>
      </c>
      <c r="M87" s="18" t="s">
        <v>267</v>
      </c>
      <c r="N87" s="18" t="s">
        <v>132</v>
      </c>
      <c r="O87" s="18" t="s">
        <v>268</v>
      </c>
      <c r="P87" s="44" t="s">
        <v>269</v>
      </c>
      <c r="Q87" s="31">
        <v>46295</v>
      </c>
      <c r="R87" s="43">
        <f t="shared" si="2"/>
        <v>4</v>
      </c>
      <c r="S87" s="35" t="str">
        <f>VLOOKUP(B87,Accounts!$A$6:$C$30,3,FALSE)</f>
        <v>Pharma</v>
      </c>
      <c r="T87" s="2"/>
      <c r="U87" s="2"/>
      <c r="V87" s="2"/>
      <c r="W87" s="2"/>
      <c r="X87" s="2"/>
      <c r="Y87" s="2"/>
      <c r="Z87" s="2"/>
    </row>
    <row r="88" spans="1:26" ht="19.95" customHeight="1">
      <c r="A88" s="28" t="s">
        <v>506</v>
      </c>
      <c r="B88" s="16" t="s">
        <v>125</v>
      </c>
      <c r="C88" s="16" t="s">
        <v>507</v>
      </c>
      <c r="D88" s="16" t="s">
        <v>508</v>
      </c>
      <c r="E88" s="16" t="s">
        <v>342</v>
      </c>
      <c r="F88" s="16" t="s">
        <v>42</v>
      </c>
      <c r="G88" s="16" t="s">
        <v>18</v>
      </c>
      <c r="H88" s="16"/>
      <c r="I88" s="16"/>
      <c r="J88" s="42">
        <v>5</v>
      </c>
      <c r="K88" s="16" t="s">
        <v>290</v>
      </c>
      <c r="L88" s="16" t="s">
        <v>45</v>
      </c>
      <c r="M88" s="16" t="s">
        <v>267</v>
      </c>
      <c r="N88" s="16" t="s">
        <v>132</v>
      </c>
      <c r="O88" s="16" t="s">
        <v>268</v>
      </c>
      <c r="P88" s="44" t="s">
        <v>269</v>
      </c>
      <c r="Q88" s="29">
        <v>46295</v>
      </c>
      <c r="R88" s="43">
        <f t="shared" si="2"/>
        <v>4.5</v>
      </c>
      <c r="S88" s="33" t="str">
        <f>VLOOKUP(B88,Accounts!$A$6:$C$30,3,FALSE)</f>
        <v>Pharma</v>
      </c>
      <c r="T88" s="2"/>
      <c r="U88" s="2"/>
      <c r="V88" s="2"/>
      <c r="W88" s="2"/>
      <c r="X88" s="2"/>
      <c r="Y88" s="2"/>
      <c r="Z88" s="2"/>
    </row>
    <row r="89" spans="1:26" ht="19.95" customHeight="1">
      <c r="A89" s="30" t="s">
        <v>509</v>
      </c>
      <c r="B89" s="18" t="s">
        <v>125</v>
      </c>
      <c r="C89" s="18" t="s">
        <v>510</v>
      </c>
      <c r="D89" s="18" t="s">
        <v>511</v>
      </c>
      <c r="E89" s="18" t="s">
        <v>280</v>
      </c>
      <c r="F89" s="18" t="s">
        <v>42</v>
      </c>
      <c r="G89" s="18" t="s">
        <v>18</v>
      </c>
      <c r="H89" s="18"/>
      <c r="I89" s="18"/>
      <c r="J89" s="42">
        <v>4</v>
      </c>
      <c r="K89" s="18" t="s">
        <v>277</v>
      </c>
      <c r="L89" s="18" t="s">
        <v>47</v>
      </c>
      <c r="M89" s="18" t="s">
        <v>267</v>
      </c>
      <c r="N89" s="18" t="s">
        <v>132</v>
      </c>
      <c r="O89" s="18" t="s">
        <v>268</v>
      </c>
      <c r="P89" s="44" t="s">
        <v>269</v>
      </c>
      <c r="Q89" s="31">
        <v>46295</v>
      </c>
      <c r="R89" s="43">
        <f t="shared" si="2"/>
        <v>4</v>
      </c>
      <c r="S89" s="35" t="str">
        <f>VLOOKUP(B89,Accounts!$A$6:$C$30,3,FALSE)</f>
        <v>Pharma</v>
      </c>
      <c r="T89" s="2"/>
      <c r="U89" s="2"/>
      <c r="V89" s="2"/>
      <c r="W89" s="2"/>
      <c r="X89" s="2"/>
      <c r="Y89" s="2"/>
      <c r="Z89" s="2"/>
    </row>
    <row r="90" spans="1:26" ht="19.95" customHeight="1">
      <c r="A90" s="28" t="s">
        <v>512</v>
      </c>
      <c r="B90" s="16" t="s">
        <v>125</v>
      </c>
      <c r="C90" s="16" t="s">
        <v>513</v>
      </c>
      <c r="D90" s="16" t="s">
        <v>514</v>
      </c>
      <c r="E90" s="16" t="s">
        <v>313</v>
      </c>
      <c r="F90" s="16" t="s">
        <v>42</v>
      </c>
      <c r="G90" s="16" t="s">
        <v>18</v>
      </c>
      <c r="H90" s="16"/>
      <c r="I90" s="16"/>
      <c r="J90" s="42">
        <v>4</v>
      </c>
      <c r="K90" s="16" t="s">
        <v>277</v>
      </c>
      <c r="L90" s="16" t="s">
        <v>47</v>
      </c>
      <c r="M90" s="16" t="s">
        <v>267</v>
      </c>
      <c r="N90" s="16" t="s">
        <v>132</v>
      </c>
      <c r="O90" s="16" t="s">
        <v>268</v>
      </c>
      <c r="P90" s="44" t="s">
        <v>269</v>
      </c>
      <c r="Q90" s="29">
        <v>46295</v>
      </c>
      <c r="R90" s="43">
        <f t="shared" si="2"/>
        <v>4</v>
      </c>
      <c r="S90" s="33" t="str">
        <f>VLOOKUP(B90,Accounts!$A$6:$C$30,3,FALSE)</f>
        <v>Pharma</v>
      </c>
      <c r="T90" s="2"/>
      <c r="U90" s="2"/>
      <c r="V90" s="2"/>
      <c r="W90" s="2"/>
      <c r="X90" s="2"/>
      <c r="Y90" s="2"/>
      <c r="Z90" s="2"/>
    </row>
    <row r="91" spans="1:26" ht="19.95" customHeight="1">
      <c r="A91" s="30" t="s">
        <v>515</v>
      </c>
      <c r="B91" s="18" t="s">
        <v>125</v>
      </c>
      <c r="C91" s="18" t="s">
        <v>516</v>
      </c>
      <c r="D91" s="18" t="s">
        <v>517</v>
      </c>
      <c r="E91" s="18" t="s">
        <v>280</v>
      </c>
      <c r="F91" s="18" t="s">
        <v>42</v>
      </c>
      <c r="G91" s="18" t="s">
        <v>18</v>
      </c>
      <c r="H91" s="18"/>
      <c r="I91" s="18"/>
      <c r="J91" s="42">
        <v>4</v>
      </c>
      <c r="K91" s="18" t="s">
        <v>277</v>
      </c>
      <c r="L91" s="18" t="s">
        <v>47</v>
      </c>
      <c r="M91" s="18" t="s">
        <v>267</v>
      </c>
      <c r="N91" s="18" t="s">
        <v>132</v>
      </c>
      <c r="O91" s="18" t="s">
        <v>268</v>
      </c>
      <c r="P91" s="44" t="s">
        <v>269</v>
      </c>
      <c r="Q91" s="31">
        <v>46295</v>
      </c>
      <c r="R91" s="43">
        <f t="shared" si="2"/>
        <v>4</v>
      </c>
      <c r="S91" s="35" t="str">
        <f>VLOOKUP(B91,Accounts!$A$6:$C$30,3,FALSE)</f>
        <v>Pharma</v>
      </c>
      <c r="T91" s="2"/>
      <c r="U91" s="2"/>
      <c r="V91" s="2"/>
      <c r="W91" s="2"/>
      <c r="X91" s="2"/>
      <c r="Y91" s="2"/>
      <c r="Z91" s="2"/>
    </row>
    <row r="92" spans="1:26" ht="19.95" customHeight="1">
      <c r="A92" s="28" t="s">
        <v>518</v>
      </c>
      <c r="B92" s="16" t="s">
        <v>125</v>
      </c>
      <c r="C92" s="16" t="s">
        <v>519</v>
      </c>
      <c r="D92" s="16" t="s">
        <v>520</v>
      </c>
      <c r="E92" s="16" t="s">
        <v>280</v>
      </c>
      <c r="F92" s="16" t="s">
        <v>42</v>
      </c>
      <c r="G92" s="16" t="s">
        <v>18</v>
      </c>
      <c r="H92" s="16"/>
      <c r="I92" s="16"/>
      <c r="J92" s="42">
        <v>4</v>
      </c>
      <c r="K92" s="16" t="s">
        <v>277</v>
      </c>
      <c r="L92" s="16" t="s">
        <v>47</v>
      </c>
      <c r="M92" s="16" t="s">
        <v>267</v>
      </c>
      <c r="N92" s="16" t="s">
        <v>132</v>
      </c>
      <c r="O92" s="16" t="s">
        <v>268</v>
      </c>
      <c r="P92" s="44" t="s">
        <v>269</v>
      </c>
      <c r="Q92" s="29">
        <v>46295</v>
      </c>
      <c r="R92" s="43">
        <f t="shared" si="2"/>
        <v>4</v>
      </c>
      <c r="S92" s="33" t="str">
        <f>VLOOKUP(B92,Accounts!$A$6:$C$30,3,FALSE)</f>
        <v>Pharma</v>
      </c>
      <c r="T92" s="2"/>
      <c r="U92" s="2"/>
      <c r="V92" s="2"/>
      <c r="W92" s="2"/>
      <c r="X92" s="2"/>
      <c r="Y92" s="2"/>
      <c r="Z92" s="2"/>
    </row>
    <row r="93" spans="1:26" ht="19.95" customHeight="1">
      <c r="A93" s="30" t="s">
        <v>521</v>
      </c>
      <c r="B93" s="18" t="s">
        <v>133</v>
      </c>
      <c r="C93" s="18" t="s">
        <v>522</v>
      </c>
      <c r="D93" s="18" t="s">
        <v>523</v>
      </c>
      <c r="E93" s="18" t="s">
        <v>265</v>
      </c>
      <c r="F93" s="18" t="s">
        <v>40</v>
      </c>
      <c r="G93" s="18" t="s">
        <v>18</v>
      </c>
      <c r="H93" s="18"/>
      <c r="I93" s="18"/>
      <c r="J93" s="42">
        <v>4</v>
      </c>
      <c r="K93" s="18" t="s">
        <v>266</v>
      </c>
      <c r="L93" s="18" t="s">
        <v>47</v>
      </c>
      <c r="M93" s="18" t="s">
        <v>308</v>
      </c>
      <c r="N93" s="18" t="s">
        <v>139</v>
      </c>
      <c r="O93" s="18" t="s">
        <v>268</v>
      </c>
      <c r="P93" s="38" t="s">
        <v>309</v>
      </c>
      <c r="Q93" s="31">
        <v>46295</v>
      </c>
      <c r="R93" s="43">
        <f t="shared" si="2"/>
        <v>4.3</v>
      </c>
      <c r="S93" s="35" t="str">
        <f>VLOOKUP(B93,Accounts!$A$6:$C$30,3,FALSE)</f>
        <v>Pharma</v>
      </c>
      <c r="T93" s="2"/>
      <c r="U93" s="2"/>
      <c r="V93" s="2"/>
      <c r="W93" s="2"/>
      <c r="X93" s="2"/>
      <c r="Y93" s="2"/>
      <c r="Z93" s="2"/>
    </row>
    <row r="94" spans="1:26" ht="19.95" customHeight="1">
      <c r="A94" s="28" t="s">
        <v>524</v>
      </c>
      <c r="B94" s="16" t="s">
        <v>133</v>
      </c>
      <c r="C94" s="16" t="s">
        <v>525</v>
      </c>
      <c r="D94" s="16" t="s">
        <v>272</v>
      </c>
      <c r="E94" s="16" t="s">
        <v>265</v>
      </c>
      <c r="F94" s="16" t="s">
        <v>40</v>
      </c>
      <c r="G94" s="16" t="s">
        <v>18</v>
      </c>
      <c r="H94" s="16"/>
      <c r="I94" s="16"/>
      <c r="J94" s="42">
        <v>4</v>
      </c>
      <c r="K94" s="16" t="s">
        <v>266</v>
      </c>
      <c r="L94" s="16" t="s">
        <v>47</v>
      </c>
      <c r="M94" s="16" t="s">
        <v>308</v>
      </c>
      <c r="N94" s="16" t="s">
        <v>139</v>
      </c>
      <c r="O94" s="16" t="s">
        <v>268</v>
      </c>
      <c r="P94" s="38" t="s">
        <v>309</v>
      </c>
      <c r="Q94" s="29">
        <v>46295</v>
      </c>
      <c r="R94" s="43">
        <f t="shared" si="2"/>
        <v>4.3</v>
      </c>
      <c r="S94" s="33" t="str">
        <f>VLOOKUP(B94,Accounts!$A$6:$C$30,3,FALSE)</f>
        <v>Pharma</v>
      </c>
      <c r="T94" s="2"/>
      <c r="U94" s="2"/>
      <c r="V94" s="2"/>
      <c r="W94" s="2"/>
      <c r="X94" s="2"/>
      <c r="Y94" s="2"/>
      <c r="Z94" s="2"/>
    </row>
    <row r="95" spans="1:26" ht="19.95" customHeight="1">
      <c r="A95" s="30" t="s">
        <v>526</v>
      </c>
      <c r="B95" s="18" t="s">
        <v>133</v>
      </c>
      <c r="C95" s="18" t="s">
        <v>527</v>
      </c>
      <c r="D95" s="18" t="s">
        <v>528</v>
      </c>
      <c r="E95" s="18" t="s">
        <v>289</v>
      </c>
      <c r="F95" s="18" t="s">
        <v>42</v>
      </c>
      <c r="G95" s="18" t="s">
        <v>18</v>
      </c>
      <c r="H95" s="18"/>
      <c r="I95" s="18"/>
      <c r="J95" s="42">
        <v>5</v>
      </c>
      <c r="K95" s="18" t="s">
        <v>290</v>
      </c>
      <c r="L95" s="18" t="s">
        <v>41</v>
      </c>
      <c r="M95" s="18" t="s">
        <v>308</v>
      </c>
      <c r="N95" s="18" t="s">
        <v>139</v>
      </c>
      <c r="O95" s="18" t="s">
        <v>268</v>
      </c>
      <c r="P95" s="38" t="s">
        <v>309</v>
      </c>
      <c r="Q95" s="31">
        <v>46295</v>
      </c>
      <c r="R95" s="43">
        <f t="shared" si="2"/>
        <v>4.5</v>
      </c>
      <c r="S95" s="35" t="str">
        <f>VLOOKUP(B95,Accounts!$A$6:$C$30,3,FALSE)</f>
        <v>Pharma</v>
      </c>
      <c r="T95" s="2"/>
      <c r="U95" s="2"/>
      <c r="V95" s="2"/>
      <c r="W95" s="2"/>
      <c r="X95" s="2"/>
      <c r="Y95" s="2"/>
      <c r="Z95" s="2"/>
    </row>
    <row r="96" spans="1:26" ht="19.95" customHeight="1">
      <c r="A96" s="28" t="s">
        <v>529</v>
      </c>
      <c r="B96" s="16" t="s">
        <v>133</v>
      </c>
      <c r="C96" s="16" t="s">
        <v>530</v>
      </c>
      <c r="D96" s="16" t="s">
        <v>299</v>
      </c>
      <c r="E96" s="16" t="s">
        <v>265</v>
      </c>
      <c r="F96" s="16" t="s">
        <v>40</v>
      </c>
      <c r="G96" s="16" t="s">
        <v>18</v>
      </c>
      <c r="H96" s="16"/>
      <c r="I96" s="16"/>
      <c r="J96" s="42">
        <v>4</v>
      </c>
      <c r="K96" s="16" t="s">
        <v>266</v>
      </c>
      <c r="L96" s="16" t="s">
        <v>47</v>
      </c>
      <c r="M96" s="16" t="s">
        <v>308</v>
      </c>
      <c r="N96" s="16" t="s">
        <v>139</v>
      </c>
      <c r="O96" s="16" t="s">
        <v>268</v>
      </c>
      <c r="P96" s="38" t="s">
        <v>309</v>
      </c>
      <c r="Q96" s="29">
        <v>46295</v>
      </c>
      <c r="R96" s="43">
        <f t="shared" si="2"/>
        <v>4.3</v>
      </c>
      <c r="S96" s="33" t="str">
        <f>VLOOKUP(B96,Accounts!$A$6:$C$30,3,FALSE)</f>
        <v>Pharma</v>
      </c>
      <c r="T96" s="2"/>
      <c r="U96" s="2"/>
      <c r="V96" s="2"/>
      <c r="W96" s="2"/>
      <c r="X96" s="2"/>
      <c r="Y96" s="2"/>
      <c r="Z96" s="2"/>
    </row>
    <row r="97" spans="1:26" ht="19.95" customHeight="1">
      <c r="A97" s="30" t="s">
        <v>531</v>
      </c>
      <c r="B97" s="18" t="s">
        <v>133</v>
      </c>
      <c r="C97" s="18" t="s">
        <v>532</v>
      </c>
      <c r="D97" s="18" t="s">
        <v>528</v>
      </c>
      <c r="E97" s="18" t="s">
        <v>280</v>
      </c>
      <c r="F97" s="18" t="s">
        <v>42</v>
      </c>
      <c r="G97" s="18" t="s">
        <v>18</v>
      </c>
      <c r="H97" s="18"/>
      <c r="I97" s="18"/>
      <c r="J97" s="42">
        <v>4</v>
      </c>
      <c r="K97" s="18" t="s">
        <v>277</v>
      </c>
      <c r="L97" s="18" t="s">
        <v>47</v>
      </c>
      <c r="M97" s="18" t="s">
        <v>308</v>
      </c>
      <c r="N97" s="18" t="s">
        <v>139</v>
      </c>
      <c r="O97" s="18" t="s">
        <v>268</v>
      </c>
      <c r="P97" s="38" t="s">
        <v>309</v>
      </c>
      <c r="Q97" s="31">
        <v>46295</v>
      </c>
      <c r="R97" s="43">
        <f t="shared" si="2"/>
        <v>4</v>
      </c>
      <c r="S97" s="35" t="str">
        <f>VLOOKUP(B97,Accounts!$A$6:$C$30,3,FALSE)</f>
        <v>Pharma</v>
      </c>
      <c r="T97" s="2"/>
      <c r="U97" s="2"/>
      <c r="V97" s="2"/>
      <c r="W97" s="2"/>
      <c r="X97" s="2"/>
      <c r="Y97" s="2"/>
      <c r="Z97" s="2"/>
    </row>
    <row r="98" spans="1:26" ht="19.95" customHeight="1">
      <c r="A98" s="28" t="s">
        <v>533</v>
      </c>
      <c r="B98" s="16" t="s">
        <v>140</v>
      </c>
      <c r="C98" s="16" t="s">
        <v>534</v>
      </c>
      <c r="D98" s="16" t="s">
        <v>523</v>
      </c>
      <c r="E98" s="16" t="s">
        <v>265</v>
      </c>
      <c r="F98" s="16" t="s">
        <v>40</v>
      </c>
      <c r="G98" s="16" t="s">
        <v>18</v>
      </c>
      <c r="H98" s="16"/>
      <c r="I98" s="16"/>
      <c r="J98" s="42">
        <v>4</v>
      </c>
      <c r="K98" s="16" t="s">
        <v>266</v>
      </c>
      <c r="L98" s="16" t="s">
        <v>47</v>
      </c>
      <c r="M98" s="16" t="s">
        <v>308</v>
      </c>
      <c r="N98" s="16" t="s">
        <v>145</v>
      </c>
      <c r="O98" s="16" t="s">
        <v>268</v>
      </c>
      <c r="P98" s="38" t="s">
        <v>309</v>
      </c>
      <c r="Q98" s="29">
        <v>46295</v>
      </c>
      <c r="R98" s="43">
        <f t="shared" si="2"/>
        <v>4.3</v>
      </c>
      <c r="S98" s="33" t="str">
        <f>VLOOKUP(B98,Accounts!$A$6:$C$30,3,FALSE)</f>
        <v>Pharma</v>
      </c>
      <c r="T98" s="2"/>
      <c r="U98" s="2"/>
      <c r="V98" s="2"/>
      <c r="W98" s="2"/>
      <c r="X98" s="2"/>
      <c r="Y98" s="2"/>
      <c r="Z98" s="2"/>
    </row>
    <row r="99" spans="1:26" ht="19.95" customHeight="1">
      <c r="A99" s="30" t="s">
        <v>535</v>
      </c>
      <c r="B99" s="18" t="s">
        <v>140</v>
      </c>
      <c r="C99" s="18" t="s">
        <v>536</v>
      </c>
      <c r="D99" s="18" t="s">
        <v>46</v>
      </c>
      <c r="E99" s="18" t="s">
        <v>265</v>
      </c>
      <c r="F99" s="18" t="s">
        <v>46</v>
      </c>
      <c r="G99" s="18" t="s">
        <v>18</v>
      </c>
      <c r="H99" s="18"/>
      <c r="I99" s="18"/>
      <c r="J99" s="42">
        <v>4</v>
      </c>
      <c r="K99" s="18" t="s">
        <v>266</v>
      </c>
      <c r="L99" s="18" t="s">
        <v>47</v>
      </c>
      <c r="M99" s="18" t="s">
        <v>308</v>
      </c>
      <c r="N99" s="18" t="s">
        <v>145</v>
      </c>
      <c r="O99" s="18" t="s">
        <v>268</v>
      </c>
      <c r="P99" s="38" t="s">
        <v>309</v>
      </c>
      <c r="Q99" s="31">
        <v>46295</v>
      </c>
      <c r="R99" s="43">
        <f t="shared" si="2"/>
        <v>4.3</v>
      </c>
      <c r="S99" s="35" t="str">
        <f>VLOOKUP(B99,Accounts!$A$6:$C$30,3,FALSE)</f>
        <v>Pharma</v>
      </c>
      <c r="T99" s="2"/>
      <c r="U99" s="2"/>
      <c r="V99" s="2"/>
      <c r="W99" s="2"/>
      <c r="X99" s="2"/>
      <c r="Y99" s="2"/>
      <c r="Z99" s="2"/>
    </row>
    <row r="100" spans="1:26" ht="19.95" customHeight="1">
      <c r="A100" s="28" t="s">
        <v>537</v>
      </c>
      <c r="B100" s="16" t="s">
        <v>140</v>
      </c>
      <c r="C100" s="16" t="s">
        <v>538</v>
      </c>
      <c r="D100" s="16" t="s">
        <v>275</v>
      </c>
      <c r="E100" s="16" t="s">
        <v>265</v>
      </c>
      <c r="F100" s="16" t="s">
        <v>42</v>
      </c>
      <c r="G100" s="16" t="s">
        <v>18</v>
      </c>
      <c r="H100" s="16"/>
      <c r="I100" s="16"/>
      <c r="J100" s="42">
        <v>4</v>
      </c>
      <c r="K100" s="16" t="s">
        <v>266</v>
      </c>
      <c r="L100" s="16" t="s">
        <v>47</v>
      </c>
      <c r="M100" s="16" t="s">
        <v>308</v>
      </c>
      <c r="N100" s="16" t="s">
        <v>145</v>
      </c>
      <c r="O100" s="16" t="s">
        <v>268</v>
      </c>
      <c r="P100" s="38" t="s">
        <v>309</v>
      </c>
      <c r="Q100" s="29">
        <v>46295</v>
      </c>
      <c r="R100" s="43">
        <f t="shared" si="2"/>
        <v>4.3</v>
      </c>
      <c r="S100" s="33" t="str">
        <f>VLOOKUP(B100,Accounts!$A$6:$C$30,3,FALSE)</f>
        <v>Pharma</v>
      </c>
      <c r="T100" s="2"/>
      <c r="U100" s="2"/>
      <c r="V100" s="2"/>
      <c r="W100" s="2"/>
      <c r="X100" s="2"/>
      <c r="Y100" s="2"/>
      <c r="Z100" s="2"/>
    </row>
    <row r="101" spans="1:26" ht="19.95" customHeight="1">
      <c r="A101" s="30" t="s">
        <v>539</v>
      </c>
      <c r="B101" s="18" t="s">
        <v>146</v>
      </c>
      <c r="C101" s="18" t="s">
        <v>540</v>
      </c>
      <c r="D101" s="18" t="s">
        <v>523</v>
      </c>
      <c r="E101" s="18" t="s">
        <v>265</v>
      </c>
      <c r="F101" s="18" t="s">
        <v>40</v>
      </c>
      <c r="G101" s="18" t="s">
        <v>18</v>
      </c>
      <c r="H101" s="18"/>
      <c r="I101" s="18"/>
      <c r="J101" s="42">
        <v>4</v>
      </c>
      <c r="K101" s="18" t="s">
        <v>266</v>
      </c>
      <c r="L101" s="18" t="s">
        <v>47</v>
      </c>
      <c r="M101" s="18" t="s">
        <v>308</v>
      </c>
      <c r="N101" s="18" t="s">
        <v>152</v>
      </c>
      <c r="O101" s="18" t="s">
        <v>268</v>
      </c>
      <c r="P101" s="38" t="s">
        <v>309</v>
      </c>
      <c r="Q101" s="31">
        <v>46295</v>
      </c>
      <c r="R101" s="43">
        <f t="shared" si="2"/>
        <v>4.3</v>
      </c>
      <c r="S101" s="35" t="str">
        <f>VLOOKUP(B101,Accounts!$A$6:$C$30,3,FALSE)</f>
        <v>Pharma</v>
      </c>
      <c r="T101" s="2"/>
      <c r="U101" s="2"/>
      <c r="V101" s="2"/>
      <c r="W101" s="2"/>
      <c r="X101" s="2"/>
      <c r="Y101" s="2"/>
      <c r="Z101" s="2"/>
    </row>
    <row r="102" spans="1:26" ht="19.95" customHeight="1">
      <c r="A102" s="28" t="s">
        <v>541</v>
      </c>
      <c r="B102" s="16" t="s">
        <v>146</v>
      </c>
      <c r="C102" s="16" t="s">
        <v>542</v>
      </c>
      <c r="D102" s="16" t="s">
        <v>272</v>
      </c>
      <c r="E102" s="16" t="s">
        <v>265</v>
      </c>
      <c r="F102" s="16" t="s">
        <v>40</v>
      </c>
      <c r="G102" s="16" t="s">
        <v>18</v>
      </c>
      <c r="H102" s="16"/>
      <c r="I102" s="16"/>
      <c r="J102" s="42">
        <v>4</v>
      </c>
      <c r="K102" s="16" t="s">
        <v>266</v>
      </c>
      <c r="L102" s="16" t="s">
        <v>47</v>
      </c>
      <c r="M102" s="16" t="s">
        <v>308</v>
      </c>
      <c r="N102" s="16" t="s">
        <v>152</v>
      </c>
      <c r="O102" s="16" t="s">
        <v>268</v>
      </c>
      <c r="P102" s="38" t="s">
        <v>309</v>
      </c>
      <c r="Q102" s="29">
        <v>46295</v>
      </c>
      <c r="R102" s="43">
        <f t="shared" si="2"/>
        <v>4.3</v>
      </c>
      <c r="S102" s="33" t="str">
        <f>VLOOKUP(B102,Accounts!$A$6:$C$30,3,FALSE)</f>
        <v>Pharma</v>
      </c>
      <c r="T102" s="2"/>
      <c r="U102" s="2"/>
      <c r="V102" s="2"/>
      <c r="W102" s="2"/>
      <c r="X102" s="2"/>
      <c r="Y102" s="2"/>
      <c r="Z102" s="2"/>
    </row>
    <row r="103" spans="1:26" ht="19.95" customHeight="1">
      <c r="A103" s="30" t="s">
        <v>543</v>
      </c>
      <c r="B103" s="18" t="s">
        <v>146</v>
      </c>
      <c r="C103" s="18" t="s">
        <v>544</v>
      </c>
      <c r="D103" s="18" t="s">
        <v>400</v>
      </c>
      <c r="E103" s="18" t="s">
        <v>265</v>
      </c>
      <c r="F103" s="18" t="s">
        <v>40</v>
      </c>
      <c r="G103" s="18" t="s">
        <v>18</v>
      </c>
      <c r="H103" s="18"/>
      <c r="I103" s="18"/>
      <c r="J103" s="42">
        <v>4</v>
      </c>
      <c r="K103" s="18" t="s">
        <v>266</v>
      </c>
      <c r="L103" s="18" t="s">
        <v>47</v>
      </c>
      <c r="M103" s="18" t="s">
        <v>308</v>
      </c>
      <c r="N103" s="18" t="s">
        <v>152</v>
      </c>
      <c r="O103" s="18" t="s">
        <v>268</v>
      </c>
      <c r="P103" s="38" t="s">
        <v>309</v>
      </c>
      <c r="Q103" s="31">
        <v>46295</v>
      </c>
      <c r="R103" s="43">
        <f t="shared" si="2"/>
        <v>4.3</v>
      </c>
      <c r="S103" s="35" t="str">
        <f>VLOOKUP(B103,Accounts!$A$6:$C$30,3,FALSE)</f>
        <v>Pharma</v>
      </c>
      <c r="T103" s="2"/>
      <c r="U103" s="2"/>
      <c r="V103" s="2"/>
      <c r="W103" s="2"/>
      <c r="X103" s="2"/>
      <c r="Y103" s="2"/>
      <c r="Z103" s="2"/>
    </row>
    <row r="104" spans="1:26" ht="19.95" customHeight="1">
      <c r="A104" s="28" t="s">
        <v>545</v>
      </c>
      <c r="B104" s="16" t="s">
        <v>153</v>
      </c>
      <c r="C104" s="16" t="s">
        <v>546</v>
      </c>
      <c r="D104" s="16" t="s">
        <v>547</v>
      </c>
      <c r="E104" s="16" t="s">
        <v>265</v>
      </c>
      <c r="F104" s="16" t="s">
        <v>40</v>
      </c>
      <c r="G104" s="16" t="s">
        <v>18</v>
      </c>
      <c r="H104" s="16"/>
      <c r="I104" s="16"/>
      <c r="J104" s="42">
        <v>4</v>
      </c>
      <c r="K104" s="16" t="s">
        <v>266</v>
      </c>
      <c r="L104" s="16" t="s">
        <v>47</v>
      </c>
      <c r="M104" s="16" t="s">
        <v>308</v>
      </c>
      <c r="N104" s="16" t="s">
        <v>159</v>
      </c>
      <c r="O104" s="16" t="s">
        <v>268</v>
      </c>
      <c r="P104" s="38" t="s">
        <v>309</v>
      </c>
      <c r="Q104" s="29">
        <v>46295</v>
      </c>
      <c r="R104" s="43">
        <f t="shared" si="2"/>
        <v>4.3</v>
      </c>
      <c r="S104" s="33" t="str">
        <f>VLOOKUP(B104,Accounts!$A$6:$C$30,3,FALSE)</f>
        <v>Pharma</v>
      </c>
      <c r="T104" s="2"/>
      <c r="U104" s="2"/>
      <c r="V104" s="2"/>
      <c r="W104" s="2"/>
      <c r="X104" s="2"/>
      <c r="Y104" s="2"/>
      <c r="Z104" s="2"/>
    </row>
    <row r="105" spans="1:26" ht="19.95" customHeight="1">
      <c r="A105" s="30" t="s">
        <v>548</v>
      </c>
      <c r="B105" s="18" t="s">
        <v>153</v>
      </c>
      <c r="C105" s="18" t="s">
        <v>549</v>
      </c>
      <c r="D105" s="18" t="s">
        <v>275</v>
      </c>
      <c r="E105" s="18" t="s">
        <v>280</v>
      </c>
      <c r="F105" s="18" t="s">
        <v>42</v>
      </c>
      <c r="G105" s="18" t="s">
        <v>18</v>
      </c>
      <c r="H105" s="18"/>
      <c r="I105" s="18"/>
      <c r="J105" s="42">
        <v>4</v>
      </c>
      <c r="K105" s="18" t="s">
        <v>277</v>
      </c>
      <c r="L105" s="18" t="s">
        <v>47</v>
      </c>
      <c r="M105" s="18" t="s">
        <v>308</v>
      </c>
      <c r="N105" s="18" t="s">
        <v>159</v>
      </c>
      <c r="O105" s="18" t="s">
        <v>268</v>
      </c>
      <c r="P105" s="38" t="s">
        <v>309</v>
      </c>
      <c r="Q105" s="31">
        <v>46295</v>
      </c>
      <c r="R105" s="43">
        <f t="shared" si="2"/>
        <v>4</v>
      </c>
      <c r="S105" s="35" t="str">
        <f>VLOOKUP(B105,Accounts!$A$6:$C$30,3,FALSE)</f>
        <v>Pharma</v>
      </c>
      <c r="T105" s="2"/>
      <c r="U105" s="2"/>
      <c r="V105" s="2"/>
      <c r="W105" s="2"/>
      <c r="X105" s="2"/>
      <c r="Y105" s="2"/>
      <c r="Z105" s="2"/>
    </row>
    <row r="106" spans="1:26" ht="19.95" customHeight="1">
      <c r="A106" s="28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29"/>
      <c r="R106" s="32"/>
      <c r="S106" s="33"/>
      <c r="T106" s="2"/>
      <c r="U106" s="2"/>
      <c r="V106" s="2"/>
      <c r="W106" s="2"/>
      <c r="X106" s="2"/>
      <c r="Y106" s="2"/>
      <c r="Z106" s="2"/>
    </row>
    <row r="107" spans="1:26" ht="19.95" customHeight="1">
      <c r="A107" s="30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31"/>
      <c r="R107" s="34"/>
      <c r="S107" s="35"/>
      <c r="T107" s="2"/>
      <c r="U107" s="2"/>
      <c r="V107" s="2"/>
      <c r="W107" s="2"/>
      <c r="X107" s="2"/>
      <c r="Y107" s="2"/>
      <c r="Z107" s="2"/>
    </row>
    <row r="108" spans="1:26" ht="19.95" customHeight="1">
      <c r="A108" s="28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33"/>
    </row>
    <row r="109" spans="1:26" ht="19.95" customHeight="1">
      <c r="A109" s="30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35"/>
    </row>
    <row r="110" spans="1:26" ht="19.95" customHeight="1">
      <c r="A110" s="28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33"/>
    </row>
  </sheetData>
  <conditionalFormatting sqref="P6:P107">
    <cfRule type="containsText" dxfId="3" priority="1" operator="containsText" text="Unverified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Lists!$H$6:$H$13</xm:f>
          </x14:formula1>
          <xm:sqref>E6:E107</xm:sqref>
        </x14:dataValidation>
        <x14:dataValidation type="list" xr:uid="{00000000-0002-0000-0200-000001000000}">
          <x14:formula1>
            <xm:f>Lists!$D$6:$D$11</xm:f>
          </x14:formula1>
          <xm:sqref>F6:F107</xm:sqref>
        </x14:dataValidation>
        <x14:dataValidation type="list" xr:uid="{00000000-0002-0000-0200-000002000000}">
          <x14:formula1>
            <xm:f>Lists!$I$6:$I$10</xm:f>
          </x14:formula1>
          <xm:sqref>K6:K107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B6B"/>
  </sheetPr>
  <dimension ref="A1:Z3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3" width="13" customWidth="1"/>
    <col min="4" max="4" width="23" customWidth="1"/>
    <col min="5" max="5" width="28" customWidth="1"/>
    <col min="6" max="6" width="30" customWidth="1"/>
    <col min="7" max="7" width="18" customWidth="1"/>
    <col min="8" max="8" width="15" customWidth="1"/>
    <col min="9" max="9" width="12" customWidth="1"/>
    <col min="10" max="10" width="16" customWidth="1"/>
    <col min="11" max="12" width="32" customWidth="1"/>
    <col min="13" max="13" width="38" customWidth="1"/>
    <col min="14" max="14" width="35" customWidth="1"/>
    <col min="15" max="15" width="16" customWidth="1"/>
  </cols>
  <sheetData>
    <row r="1" spans="1:26" ht="28.05" customHeight="1">
      <c r="A1" s="6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95" customHeight="1">
      <c r="A2" s="7" t="s">
        <v>550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>
      <c r="A5" s="27" t="s">
        <v>551</v>
      </c>
      <c r="B5" s="27" t="s">
        <v>52</v>
      </c>
      <c r="C5" s="27" t="s">
        <v>247</v>
      </c>
      <c r="D5" s="27" t="s">
        <v>552</v>
      </c>
      <c r="E5" s="27" t="s">
        <v>553</v>
      </c>
      <c r="F5" s="27" t="s">
        <v>554</v>
      </c>
      <c r="G5" s="27" t="s">
        <v>555</v>
      </c>
      <c r="H5" s="27" t="s">
        <v>10</v>
      </c>
      <c r="I5" s="27" t="s">
        <v>556</v>
      </c>
      <c r="J5" s="27" t="s">
        <v>557</v>
      </c>
      <c r="K5" s="27" t="s">
        <v>558</v>
      </c>
      <c r="L5" s="27" t="s">
        <v>559</v>
      </c>
      <c r="M5" s="27" t="s">
        <v>560</v>
      </c>
      <c r="N5" s="27" t="s">
        <v>561</v>
      </c>
      <c r="O5" s="27" t="s">
        <v>562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95" customHeight="1">
      <c r="A6" s="28" t="s">
        <v>563</v>
      </c>
      <c r="B6" s="16" t="s">
        <v>67</v>
      </c>
      <c r="C6" s="16" t="s">
        <v>262</v>
      </c>
      <c r="D6" s="16" t="s">
        <v>68</v>
      </c>
      <c r="E6" s="16" t="s">
        <v>263</v>
      </c>
      <c r="F6" s="16" t="s">
        <v>74</v>
      </c>
      <c r="G6" s="38" t="s">
        <v>564</v>
      </c>
      <c r="H6" s="41" t="s">
        <v>15</v>
      </c>
      <c r="I6" s="45">
        <v>15</v>
      </c>
      <c r="J6" s="29">
        <v>46357</v>
      </c>
      <c r="K6" s="16" t="s">
        <v>565</v>
      </c>
      <c r="L6" s="16" t="s">
        <v>566</v>
      </c>
      <c r="M6" s="16" t="s">
        <v>567</v>
      </c>
      <c r="N6" s="16" t="s">
        <v>568</v>
      </c>
      <c r="O6" s="46" t="s">
        <v>569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95" customHeight="1">
      <c r="A7" s="30" t="s">
        <v>570</v>
      </c>
      <c r="B7" s="18" t="s">
        <v>80</v>
      </c>
      <c r="C7" s="18" t="s">
        <v>314</v>
      </c>
      <c r="D7" s="18" t="s">
        <v>81</v>
      </c>
      <c r="E7" s="18" t="s">
        <v>315</v>
      </c>
      <c r="F7" s="18" t="s">
        <v>86</v>
      </c>
      <c r="G7" s="38" t="s">
        <v>564</v>
      </c>
      <c r="H7" s="41" t="s">
        <v>15</v>
      </c>
      <c r="I7" s="45">
        <v>15</v>
      </c>
      <c r="J7" s="31">
        <v>46358</v>
      </c>
      <c r="K7" s="18" t="s">
        <v>565</v>
      </c>
      <c r="L7" s="18" t="s">
        <v>566</v>
      </c>
      <c r="M7" s="18" t="s">
        <v>567</v>
      </c>
      <c r="N7" s="18" t="s">
        <v>568</v>
      </c>
      <c r="O7" s="46" t="s">
        <v>569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95" customHeight="1">
      <c r="A8" s="28" t="s">
        <v>571</v>
      </c>
      <c r="B8" s="16" t="s">
        <v>89</v>
      </c>
      <c r="C8" s="16" t="s">
        <v>346</v>
      </c>
      <c r="D8" s="16" t="s">
        <v>90</v>
      </c>
      <c r="E8" s="16" t="s">
        <v>347</v>
      </c>
      <c r="F8" s="16" t="s">
        <v>93</v>
      </c>
      <c r="G8" s="38" t="s">
        <v>564</v>
      </c>
      <c r="H8" s="41" t="s">
        <v>15</v>
      </c>
      <c r="I8" s="45">
        <v>15</v>
      </c>
      <c r="J8" s="29">
        <v>46359</v>
      </c>
      <c r="K8" s="16" t="s">
        <v>565</v>
      </c>
      <c r="L8" s="16" t="s">
        <v>566</v>
      </c>
      <c r="M8" s="16" t="s">
        <v>567</v>
      </c>
      <c r="N8" s="16" t="s">
        <v>568</v>
      </c>
      <c r="O8" s="46" t="s">
        <v>569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95" customHeight="1">
      <c r="A9" s="30" t="s">
        <v>572</v>
      </c>
      <c r="B9" s="18" t="s">
        <v>96</v>
      </c>
      <c r="C9" s="18" t="s">
        <v>360</v>
      </c>
      <c r="D9" s="18" t="s">
        <v>97</v>
      </c>
      <c r="E9" s="18" t="s">
        <v>361</v>
      </c>
      <c r="F9" s="18" t="s">
        <v>101</v>
      </c>
      <c r="G9" s="38" t="s">
        <v>564</v>
      </c>
      <c r="H9" s="41" t="s">
        <v>15</v>
      </c>
      <c r="I9" s="45">
        <v>15</v>
      </c>
      <c r="J9" s="31">
        <v>46360</v>
      </c>
      <c r="K9" s="18" t="s">
        <v>565</v>
      </c>
      <c r="L9" s="18" t="s">
        <v>566</v>
      </c>
      <c r="M9" s="18" t="s">
        <v>567</v>
      </c>
      <c r="N9" s="18" t="s">
        <v>568</v>
      </c>
      <c r="O9" s="46" t="s">
        <v>569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95" customHeight="1">
      <c r="A10" s="28" t="s">
        <v>573</v>
      </c>
      <c r="B10" s="16" t="s">
        <v>104</v>
      </c>
      <c r="C10" s="16" t="s">
        <v>395</v>
      </c>
      <c r="D10" s="16" t="s">
        <v>105</v>
      </c>
      <c r="E10" s="16" t="s">
        <v>396</v>
      </c>
      <c r="F10" s="16" t="s">
        <v>107</v>
      </c>
      <c r="G10" s="38" t="s">
        <v>564</v>
      </c>
      <c r="H10" s="41" t="s">
        <v>15</v>
      </c>
      <c r="I10" s="45">
        <v>15</v>
      </c>
      <c r="J10" s="29">
        <v>46361</v>
      </c>
      <c r="K10" s="16" t="s">
        <v>565</v>
      </c>
      <c r="L10" s="16" t="s">
        <v>566</v>
      </c>
      <c r="M10" s="16" t="s">
        <v>567</v>
      </c>
      <c r="N10" s="16" t="s">
        <v>568</v>
      </c>
      <c r="O10" s="46" t="s">
        <v>569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95" customHeight="1">
      <c r="A11" s="30" t="s">
        <v>574</v>
      </c>
      <c r="B11" s="18" t="s">
        <v>110</v>
      </c>
      <c r="C11" s="18" t="s">
        <v>442</v>
      </c>
      <c r="D11" s="18" t="s">
        <v>111</v>
      </c>
      <c r="E11" s="18" t="s">
        <v>443</v>
      </c>
      <c r="F11" s="18" t="s">
        <v>113</v>
      </c>
      <c r="G11" s="38" t="s">
        <v>564</v>
      </c>
      <c r="H11" s="41" t="s">
        <v>15</v>
      </c>
      <c r="I11" s="45">
        <v>15</v>
      </c>
      <c r="J11" s="31">
        <v>46362</v>
      </c>
      <c r="K11" s="18" t="s">
        <v>565</v>
      </c>
      <c r="L11" s="18" t="s">
        <v>566</v>
      </c>
      <c r="M11" s="18" t="s">
        <v>567</v>
      </c>
      <c r="N11" s="18" t="s">
        <v>568</v>
      </c>
      <c r="O11" s="46" t="s">
        <v>569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95" customHeight="1">
      <c r="A12" s="28" t="s">
        <v>575</v>
      </c>
      <c r="B12" s="16" t="s">
        <v>116</v>
      </c>
      <c r="C12" s="16" t="s">
        <v>465</v>
      </c>
      <c r="D12" s="16" t="s">
        <v>117</v>
      </c>
      <c r="E12" s="16" t="s">
        <v>466</v>
      </c>
      <c r="F12" s="16" t="s">
        <v>121</v>
      </c>
      <c r="G12" s="38" t="s">
        <v>576</v>
      </c>
      <c r="H12" s="41" t="s">
        <v>15</v>
      </c>
      <c r="I12" s="45">
        <v>15</v>
      </c>
      <c r="J12" s="29">
        <v>46363</v>
      </c>
      <c r="K12" s="16" t="s">
        <v>565</v>
      </c>
      <c r="L12" s="16" t="s">
        <v>566</v>
      </c>
      <c r="M12" s="16" t="s">
        <v>567</v>
      </c>
      <c r="N12" s="16" t="s">
        <v>568</v>
      </c>
      <c r="O12" s="46" t="s">
        <v>569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95" customHeight="1">
      <c r="A13" s="30" t="s">
        <v>577</v>
      </c>
      <c r="B13" s="18" t="s">
        <v>125</v>
      </c>
      <c r="C13" s="18" t="s">
        <v>481</v>
      </c>
      <c r="D13" s="18" t="s">
        <v>126</v>
      </c>
      <c r="E13" s="18" t="s">
        <v>482</v>
      </c>
      <c r="F13" s="18" t="s">
        <v>130</v>
      </c>
      <c r="G13" s="38" t="s">
        <v>564</v>
      </c>
      <c r="H13" s="41" t="s">
        <v>15</v>
      </c>
      <c r="I13" s="45">
        <v>15</v>
      </c>
      <c r="J13" s="31">
        <v>46364</v>
      </c>
      <c r="K13" s="18" t="s">
        <v>565</v>
      </c>
      <c r="L13" s="18" t="s">
        <v>566</v>
      </c>
      <c r="M13" s="18" t="s">
        <v>567</v>
      </c>
      <c r="N13" s="18" t="s">
        <v>568</v>
      </c>
      <c r="O13" s="46" t="s">
        <v>569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95" customHeight="1">
      <c r="A14" s="28" t="s">
        <v>578</v>
      </c>
      <c r="B14" s="16" t="s">
        <v>133</v>
      </c>
      <c r="C14" s="16" t="s">
        <v>521</v>
      </c>
      <c r="D14" s="16" t="s">
        <v>134</v>
      </c>
      <c r="E14" s="16" t="s">
        <v>522</v>
      </c>
      <c r="F14" s="16" t="s">
        <v>137</v>
      </c>
      <c r="G14" s="38" t="s">
        <v>564</v>
      </c>
      <c r="H14" s="41" t="s">
        <v>15</v>
      </c>
      <c r="I14" s="45">
        <v>15</v>
      </c>
      <c r="J14" s="29">
        <v>46365</v>
      </c>
      <c r="K14" s="16" t="s">
        <v>565</v>
      </c>
      <c r="L14" s="16" t="s">
        <v>566</v>
      </c>
      <c r="M14" s="16" t="s">
        <v>567</v>
      </c>
      <c r="N14" s="16" t="s">
        <v>568</v>
      </c>
      <c r="O14" s="46" t="s">
        <v>569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95" customHeight="1">
      <c r="A15" s="30" t="s">
        <v>579</v>
      </c>
      <c r="B15" s="18" t="s">
        <v>140</v>
      </c>
      <c r="C15" s="18" t="s">
        <v>533</v>
      </c>
      <c r="D15" s="18" t="s">
        <v>141</v>
      </c>
      <c r="E15" s="18" t="s">
        <v>534</v>
      </c>
      <c r="F15" s="18" t="s">
        <v>143</v>
      </c>
      <c r="G15" s="38" t="s">
        <v>576</v>
      </c>
      <c r="H15" s="41" t="s">
        <v>15</v>
      </c>
      <c r="I15" s="45">
        <v>15</v>
      </c>
      <c r="J15" s="31">
        <v>46366</v>
      </c>
      <c r="K15" s="18" t="s">
        <v>565</v>
      </c>
      <c r="L15" s="18" t="s">
        <v>566</v>
      </c>
      <c r="M15" s="18" t="s">
        <v>567</v>
      </c>
      <c r="N15" s="18" t="s">
        <v>568</v>
      </c>
      <c r="O15" s="46" t="s">
        <v>569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95" customHeight="1">
      <c r="A16" s="28" t="s">
        <v>580</v>
      </c>
      <c r="B16" s="16" t="s">
        <v>146</v>
      </c>
      <c r="C16" s="16" t="s">
        <v>539</v>
      </c>
      <c r="D16" s="16" t="s">
        <v>147</v>
      </c>
      <c r="E16" s="16" t="s">
        <v>540</v>
      </c>
      <c r="F16" s="16" t="s">
        <v>150</v>
      </c>
      <c r="G16" s="38" t="s">
        <v>576</v>
      </c>
      <c r="H16" s="41" t="s">
        <v>15</v>
      </c>
      <c r="I16" s="45">
        <v>15</v>
      </c>
      <c r="J16" s="29">
        <v>46367</v>
      </c>
      <c r="K16" s="16" t="s">
        <v>565</v>
      </c>
      <c r="L16" s="16" t="s">
        <v>566</v>
      </c>
      <c r="M16" s="16" t="s">
        <v>567</v>
      </c>
      <c r="N16" s="16" t="s">
        <v>568</v>
      </c>
      <c r="O16" s="46" t="s">
        <v>569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95" customHeight="1">
      <c r="A17" s="30" t="s">
        <v>581</v>
      </c>
      <c r="B17" s="18" t="s">
        <v>153</v>
      </c>
      <c r="C17" s="18" t="s">
        <v>545</v>
      </c>
      <c r="D17" s="18" t="s">
        <v>154</v>
      </c>
      <c r="E17" s="18" t="s">
        <v>546</v>
      </c>
      <c r="F17" s="18" t="s">
        <v>157</v>
      </c>
      <c r="G17" s="38" t="s">
        <v>576</v>
      </c>
      <c r="H17" s="41" t="s">
        <v>15</v>
      </c>
      <c r="I17" s="45">
        <v>15</v>
      </c>
      <c r="J17" s="31">
        <v>46368</v>
      </c>
      <c r="K17" s="18" t="s">
        <v>565</v>
      </c>
      <c r="L17" s="18" t="s">
        <v>566</v>
      </c>
      <c r="M17" s="18" t="s">
        <v>567</v>
      </c>
      <c r="N17" s="18" t="s">
        <v>568</v>
      </c>
      <c r="O17" s="46" t="s">
        <v>569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95" customHeight="1">
      <c r="A18" s="28" t="s">
        <v>582</v>
      </c>
      <c r="B18" s="16" t="s">
        <v>160</v>
      </c>
      <c r="C18" s="16"/>
      <c r="D18" s="16" t="s">
        <v>161</v>
      </c>
      <c r="E18" s="16" t="s">
        <v>583</v>
      </c>
      <c r="F18" s="16" t="s">
        <v>163</v>
      </c>
      <c r="G18" s="38" t="s">
        <v>576</v>
      </c>
      <c r="H18" s="41" t="s">
        <v>15</v>
      </c>
      <c r="I18" s="45">
        <v>15</v>
      </c>
      <c r="J18" s="29">
        <v>46369</v>
      </c>
      <c r="K18" s="16" t="s">
        <v>565</v>
      </c>
      <c r="L18" s="16" t="s">
        <v>566</v>
      </c>
      <c r="M18" s="16" t="s">
        <v>567</v>
      </c>
      <c r="N18" s="16" t="s">
        <v>568</v>
      </c>
      <c r="O18" s="46" t="s">
        <v>569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95" customHeight="1">
      <c r="A19" s="30" t="s">
        <v>584</v>
      </c>
      <c r="B19" s="18" t="s">
        <v>166</v>
      </c>
      <c r="C19" s="18"/>
      <c r="D19" s="18" t="s">
        <v>167</v>
      </c>
      <c r="E19" s="18" t="s">
        <v>583</v>
      </c>
      <c r="F19" s="18" t="s">
        <v>169</v>
      </c>
      <c r="G19" s="38" t="s">
        <v>576</v>
      </c>
      <c r="H19" s="41" t="s">
        <v>15</v>
      </c>
      <c r="I19" s="45">
        <v>15</v>
      </c>
      <c r="J19" s="31">
        <v>46370</v>
      </c>
      <c r="K19" s="18" t="s">
        <v>565</v>
      </c>
      <c r="L19" s="18" t="s">
        <v>566</v>
      </c>
      <c r="M19" s="18" t="s">
        <v>567</v>
      </c>
      <c r="N19" s="18" t="s">
        <v>568</v>
      </c>
      <c r="O19" s="46" t="s">
        <v>569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95" customHeight="1">
      <c r="A20" s="28" t="s">
        <v>585</v>
      </c>
      <c r="B20" s="16" t="s">
        <v>171</v>
      </c>
      <c r="C20" s="16"/>
      <c r="D20" s="16" t="s">
        <v>172</v>
      </c>
      <c r="E20" s="16" t="s">
        <v>583</v>
      </c>
      <c r="F20" s="16" t="s">
        <v>177</v>
      </c>
      <c r="G20" s="38" t="s">
        <v>564</v>
      </c>
      <c r="H20" s="41" t="s">
        <v>15</v>
      </c>
      <c r="I20" s="45">
        <v>15</v>
      </c>
      <c r="J20" s="29">
        <v>46371</v>
      </c>
      <c r="K20" s="16" t="s">
        <v>565</v>
      </c>
      <c r="L20" s="16" t="s">
        <v>566</v>
      </c>
      <c r="M20" s="16" t="s">
        <v>567</v>
      </c>
      <c r="N20" s="16" t="s">
        <v>568</v>
      </c>
      <c r="O20" s="46" t="s">
        <v>569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95" customHeight="1">
      <c r="A21" s="30" t="s">
        <v>586</v>
      </c>
      <c r="B21" s="18" t="s">
        <v>180</v>
      </c>
      <c r="C21" s="18"/>
      <c r="D21" s="18" t="s">
        <v>181</v>
      </c>
      <c r="E21" s="18" t="s">
        <v>583</v>
      </c>
      <c r="F21" s="18" t="s">
        <v>163</v>
      </c>
      <c r="G21" s="38" t="s">
        <v>564</v>
      </c>
      <c r="H21" s="41" t="s">
        <v>15</v>
      </c>
      <c r="I21" s="45">
        <v>15</v>
      </c>
      <c r="J21" s="31">
        <v>46372</v>
      </c>
      <c r="K21" s="18" t="s">
        <v>565</v>
      </c>
      <c r="L21" s="18" t="s">
        <v>566</v>
      </c>
      <c r="M21" s="18" t="s">
        <v>567</v>
      </c>
      <c r="N21" s="18" t="s">
        <v>568</v>
      </c>
      <c r="O21" s="46" t="s">
        <v>569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95" customHeight="1">
      <c r="A22" s="28" t="s">
        <v>587</v>
      </c>
      <c r="B22" s="16" t="s">
        <v>187</v>
      </c>
      <c r="C22" s="16"/>
      <c r="D22" s="16" t="s">
        <v>188</v>
      </c>
      <c r="E22" s="16" t="s">
        <v>583</v>
      </c>
      <c r="F22" s="16" t="s">
        <v>177</v>
      </c>
      <c r="G22" s="38" t="s">
        <v>564</v>
      </c>
      <c r="H22" s="41" t="s">
        <v>15</v>
      </c>
      <c r="I22" s="45">
        <v>15</v>
      </c>
      <c r="J22" s="29">
        <v>46373</v>
      </c>
      <c r="K22" s="16" t="s">
        <v>565</v>
      </c>
      <c r="L22" s="16" t="s">
        <v>566</v>
      </c>
      <c r="M22" s="16" t="s">
        <v>567</v>
      </c>
      <c r="N22" s="16" t="s">
        <v>568</v>
      </c>
      <c r="O22" s="46" t="s">
        <v>569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95" customHeight="1">
      <c r="A23" s="30" t="s">
        <v>588</v>
      </c>
      <c r="B23" s="18" t="s">
        <v>192</v>
      </c>
      <c r="C23" s="18"/>
      <c r="D23" s="18" t="s">
        <v>193</v>
      </c>
      <c r="E23" s="18" t="s">
        <v>583</v>
      </c>
      <c r="F23" s="18" t="s">
        <v>196</v>
      </c>
      <c r="G23" s="38" t="s">
        <v>564</v>
      </c>
      <c r="H23" s="41" t="s">
        <v>15</v>
      </c>
      <c r="I23" s="45">
        <v>15</v>
      </c>
      <c r="J23" s="31">
        <v>46374</v>
      </c>
      <c r="K23" s="18" t="s">
        <v>565</v>
      </c>
      <c r="L23" s="18" t="s">
        <v>566</v>
      </c>
      <c r="M23" s="18" t="s">
        <v>567</v>
      </c>
      <c r="N23" s="18" t="s">
        <v>568</v>
      </c>
      <c r="O23" s="46" t="s">
        <v>569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95" customHeight="1">
      <c r="A24" s="28" t="s">
        <v>589</v>
      </c>
      <c r="B24" s="16" t="s">
        <v>200</v>
      </c>
      <c r="C24" s="16"/>
      <c r="D24" s="16" t="s">
        <v>201</v>
      </c>
      <c r="E24" s="16" t="s">
        <v>583</v>
      </c>
      <c r="F24" s="16" t="s">
        <v>205</v>
      </c>
      <c r="G24" s="38" t="s">
        <v>564</v>
      </c>
      <c r="H24" s="41" t="s">
        <v>15</v>
      </c>
      <c r="I24" s="45">
        <v>15</v>
      </c>
      <c r="J24" s="29">
        <v>46375</v>
      </c>
      <c r="K24" s="16" t="s">
        <v>565</v>
      </c>
      <c r="L24" s="16" t="s">
        <v>566</v>
      </c>
      <c r="M24" s="16" t="s">
        <v>567</v>
      </c>
      <c r="N24" s="16" t="s">
        <v>568</v>
      </c>
      <c r="O24" s="46" t="s">
        <v>569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95" customHeight="1">
      <c r="A25" s="30" t="s">
        <v>590</v>
      </c>
      <c r="B25" s="18" t="s">
        <v>208</v>
      </c>
      <c r="C25" s="18"/>
      <c r="D25" s="18" t="s">
        <v>209</v>
      </c>
      <c r="E25" s="18" t="s">
        <v>583</v>
      </c>
      <c r="F25" s="18" t="s">
        <v>196</v>
      </c>
      <c r="G25" s="38" t="s">
        <v>576</v>
      </c>
      <c r="H25" s="41" t="s">
        <v>15</v>
      </c>
      <c r="I25" s="45">
        <v>15</v>
      </c>
      <c r="J25" s="31">
        <v>46376</v>
      </c>
      <c r="K25" s="18" t="s">
        <v>565</v>
      </c>
      <c r="L25" s="18" t="s">
        <v>566</v>
      </c>
      <c r="M25" s="18" t="s">
        <v>567</v>
      </c>
      <c r="N25" s="18" t="s">
        <v>568</v>
      </c>
      <c r="O25" s="46" t="s">
        <v>569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95" customHeight="1">
      <c r="A26" s="28" t="s">
        <v>591</v>
      </c>
      <c r="B26" s="16" t="s">
        <v>215</v>
      </c>
      <c r="C26" s="16"/>
      <c r="D26" s="16" t="s">
        <v>216</v>
      </c>
      <c r="E26" s="16" t="s">
        <v>583</v>
      </c>
      <c r="F26" s="16" t="s">
        <v>219</v>
      </c>
      <c r="G26" s="38" t="s">
        <v>564</v>
      </c>
      <c r="H26" s="41" t="s">
        <v>15</v>
      </c>
      <c r="I26" s="45">
        <v>15</v>
      </c>
      <c r="J26" s="29">
        <v>46357</v>
      </c>
      <c r="K26" s="16" t="s">
        <v>565</v>
      </c>
      <c r="L26" s="16" t="s">
        <v>566</v>
      </c>
      <c r="M26" s="16" t="s">
        <v>567</v>
      </c>
      <c r="N26" s="16" t="s">
        <v>568</v>
      </c>
      <c r="O26" s="46" t="s">
        <v>569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95" customHeight="1">
      <c r="A27" s="30" t="s">
        <v>592</v>
      </c>
      <c r="B27" s="18" t="s">
        <v>222</v>
      </c>
      <c r="C27" s="18"/>
      <c r="D27" s="18" t="s">
        <v>223</v>
      </c>
      <c r="E27" s="18" t="s">
        <v>583</v>
      </c>
      <c r="F27" s="18" t="s">
        <v>226</v>
      </c>
      <c r="G27" s="38" t="s">
        <v>564</v>
      </c>
      <c r="H27" s="41" t="s">
        <v>15</v>
      </c>
      <c r="I27" s="45">
        <v>15</v>
      </c>
      <c r="J27" s="31">
        <v>46358</v>
      </c>
      <c r="K27" s="18" t="s">
        <v>565</v>
      </c>
      <c r="L27" s="18" t="s">
        <v>566</v>
      </c>
      <c r="M27" s="18" t="s">
        <v>567</v>
      </c>
      <c r="N27" s="18" t="s">
        <v>568</v>
      </c>
      <c r="O27" s="46" t="s">
        <v>569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95" customHeight="1">
      <c r="A28" s="28" t="s">
        <v>593</v>
      </c>
      <c r="B28" s="16" t="s">
        <v>229</v>
      </c>
      <c r="C28" s="16"/>
      <c r="D28" s="16" t="s">
        <v>230</v>
      </c>
      <c r="E28" s="16" t="s">
        <v>583</v>
      </c>
      <c r="F28" s="16" t="s">
        <v>233</v>
      </c>
      <c r="G28" s="38" t="s">
        <v>576</v>
      </c>
      <c r="H28" s="41" t="s">
        <v>15</v>
      </c>
      <c r="I28" s="45">
        <v>15</v>
      </c>
      <c r="J28" s="29">
        <v>46359</v>
      </c>
      <c r="K28" s="16" t="s">
        <v>565</v>
      </c>
      <c r="L28" s="16" t="s">
        <v>566</v>
      </c>
      <c r="M28" s="16" t="s">
        <v>567</v>
      </c>
      <c r="N28" s="16" t="s">
        <v>568</v>
      </c>
      <c r="O28" s="46" t="s">
        <v>569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95" customHeight="1">
      <c r="A29" s="30" t="s">
        <v>594</v>
      </c>
      <c r="B29" s="18" t="s">
        <v>236</v>
      </c>
      <c r="C29" s="18"/>
      <c r="D29" s="18" t="s">
        <v>237</v>
      </c>
      <c r="E29" s="18" t="s">
        <v>583</v>
      </c>
      <c r="F29" s="18" t="s">
        <v>238</v>
      </c>
      <c r="G29" s="38" t="s">
        <v>576</v>
      </c>
      <c r="H29" s="41" t="s">
        <v>15</v>
      </c>
      <c r="I29" s="45">
        <v>15</v>
      </c>
      <c r="J29" s="31">
        <v>46360</v>
      </c>
      <c r="K29" s="18" t="s">
        <v>565</v>
      </c>
      <c r="L29" s="18" t="s">
        <v>566</v>
      </c>
      <c r="M29" s="18" t="s">
        <v>567</v>
      </c>
      <c r="N29" s="18" t="s">
        <v>568</v>
      </c>
      <c r="O29" s="46" t="s">
        <v>569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95" customHeight="1">
      <c r="A30" s="28" t="s">
        <v>595</v>
      </c>
      <c r="B30" s="16" t="s">
        <v>240</v>
      </c>
      <c r="C30" s="16"/>
      <c r="D30" s="16" t="s">
        <v>241</v>
      </c>
      <c r="E30" s="16" t="s">
        <v>583</v>
      </c>
      <c r="F30" s="16" t="s">
        <v>243</v>
      </c>
      <c r="G30" s="38" t="s">
        <v>576</v>
      </c>
      <c r="H30" s="41" t="s">
        <v>15</v>
      </c>
      <c r="I30" s="45">
        <v>15</v>
      </c>
      <c r="J30" s="29">
        <v>46361</v>
      </c>
      <c r="K30" s="16" t="s">
        <v>565</v>
      </c>
      <c r="L30" s="16" t="s">
        <v>566</v>
      </c>
      <c r="M30" s="16" t="s">
        <v>567</v>
      </c>
      <c r="N30" s="16" t="s">
        <v>568</v>
      </c>
      <c r="O30" s="46" t="s">
        <v>569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conditionalFormatting sqref="G6:G30">
    <cfRule type="containsText" dxfId="2" priority="1" operator="containsText" text="$500K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Lists!$C$6:$C$12</xm:f>
          </x14:formula1>
          <xm:sqref>H6:H30</xm:sqref>
        </x14:dataValidation>
        <x14:dataValidation type="list" xr:uid="{00000000-0002-0000-0300-000001000000}">
          <x14:formula1>
            <xm:f>Lists!$F$6:$F$10</xm:f>
          </x14:formula1>
          <xm:sqref>O6:O30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B6B"/>
  </sheetPr>
  <dimension ref="A1:Z35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14" customWidth="1"/>
    <col min="2" max="2" width="22" customWidth="1"/>
    <col min="3" max="3" width="24" customWidth="1"/>
    <col min="4" max="4" width="15" customWidth="1"/>
    <col min="5" max="5" width="25" customWidth="1"/>
    <col min="6" max="6" width="32" customWidth="1"/>
    <col min="7" max="7" width="34" customWidth="1"/>
    <col min="8" max="8" width="17" customWidth="1"/>
    <col min="9" max="9" width="18" customWidth="1"/>
    <col min="10" max="10" width="45" customWidth="1"/>
    <col min="11" max="11" width="15" customWidth="1"/>
  </cols>
  <sheetData>
    <row r="1" spans="1:26" ht="28.05" customHeight="1">
      <c r="A1" s="6" t="s">
        <v>596</v>
      </c>
      <c r="B1" s="6"/>
      <c r="C1" s="6"/>
      <c r="D1" s="6"/>
      <c r="E1" s="6"/>
      <c r="F1" s="6"/>
      <c r="G1" s="6"/>
      <c r="H1" s="6"/>
      <c r="I1" s="6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95" customHeight="1">
      <c r="A2" s="7" t="s">
        <v>597</v>
      </c>
      <c r="B2" s="7"/>
      <c r="C2" s="7"/>
      <c r="D2" s="7"/>
      <c r="E2" s="7"/>
      <c r="F2" s="7"/>
      <c r="G2" s="7"/>
      <c r="H2" s="7"/>
      <c r="I2" s="7"/>
      <c r="J2" s="7"/>
      <c r="K2" s="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>
      <c r="A5" s="27" t="s">
        <v>598</v>
      </c>
      <c r="B5" s="27" t="s">
        <v>599</v>
      </c>
      <c r="C5" s="27" t="s">
        <v>600</v>
      </c>
      <c r="D5" s="27" t="s">
        <v>601</v>
      </c>
      <c r="E5" s="27" t="s">
        <v>602</v>
      </c>
      <c r="F5" s="27" t="s">
        <v>603</v>
      </c>
      <c r="G5" s="27" t="s">
        <v>604</v>
      </c>
      <c r="H5" s="27" t="s">
        <v>605</v>
      </c>
      <c r="I5" s="27" t="s">
        <v>606</v>
      </c>
      <c r="J5" s="27" t="s">
        <v>607</v>
      </c>
      <c r="K5" s="27" t="s">
        <v>608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95" customHeight="1">
      <c r="A6" s="36">
        <v>46266</v>
      </c>
      <c r="B6" s="16" t="s">
        <v>609</v>
      </c>
      <c r="C6" s="16" t="s">
        <v>76</v>
      </c>
      <c r="D6" s="16" t="s">
        <v>262</v>
      </c>
      <c r="E6" s="16" t="s">
        <v>263</v>
      </c>
      <c r="F6" s="16" t="s">
        <v>610</v>
      </c>
      <c r="G6" s="16" t="s">
        <v>611</v>
      </c>
      <c r="H6" s="29">
        <v>46296</v>
      </c>
      <c r="I6" s="44" t="s">
        <v>612</v>
      </c>
      <c r="J6" s="16" t="s">
        <v>613</v>
      </c>
      <c r="K6" s="47" t="str">
        <f t="shared" ref="K6:K35" ca="1" si="0">IF(AND(J6&lt;&gt;"Completed",I6&lt;TODAY()),"OVERDUE",IF(J6="Completed","Complete","Open"))</f>
        <v>Open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95" customHeight="1">
      <c r="A7" s="37">
        <v>46267</v>
      </c>
      <c r="B7" s="18" t="s">
        <v>614</v>
      </c>
      <c r="C7" s="18" t="s">
        <v>76</v>
      </c>
      <c r="D7" s="18" t="s">
        <v>270</v>
      </c>
      <c r="E7" s="18" t="s">
        <v>271</v>
      </c>
      <c r="F7" s="18" t="s">
        <v>615</v>
      </c>
      <c r="G7" s="18" t="s">
        <v>611</v>
      </c>
      <c r="H7" s="31">
        <v>46297</v>
      </c>
      <c r="I7" s="38" t="s">
        <v>616</v>
      </c>
      <c r="J7" s="18" t="s">
        <v>613</v>
      </c>
      <c r="K7" s="47" t="str">
        <f t="shared" ca="1" si="0"/>
        <v>Open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95" customHeight="1">
      <c r="A8" s="36">
        <v>46268</v>
      </c>
      <c r="B8" s="16" t="s">
        <v>614</v>
      </c>
      <c r="C8" s="16" t="s">
        <v>76</v>
      </c>
      <c r="D8" s="16" t="s">
        <v>273</v>
      </c>
      <c r="E8" s="16" t="s">
        <v>274</v>
      </c>
      <c r="F8" s="16" t="s">
        <v>615</v>
      </c>
      <c r="G8" s="16" t="s">
        <v>611</v>
      </c>
      <c r="H8" s="29">
        <v>46298</v>
      </c>
      <c r="I8" s="38" t="s">
        <v>616</v>
      </c>
      <c r="J8" s="16" t="s">
        <v>613</v>
      </c>
      <c r="K8" s="47" t="str">
        <f t="shared" ca="1" si="0"/>
        <v>Open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95" customHeight="1">
      <c r="A9" s="37">
        <v>46269</v>
      </c>
      <c r="B9" s="18" t="s">
        <v>609</v>
      </c>
      <c r="C9" s="18" t="s">
        <v>76</v>
      </c>
      <c r="D9" s="18" t="s">
        <v>278</v>
      </c>
      <c r="E9" s="18" t="s">
        <v>279</v>
      </c>
      <c r="F9" s="18" t="s">
        <v>610</v>
      </c>
      <c r="G9" s="18" t="s">
        <v>611</v>
      </c>
      <c r="H9" s="31">
        <v>46299</v>
      </c>
      <c r="I9" s="44" t="s">
        <v>612</v>
      </c>
      <c r="J9" s="18" t="s">
        <v>613</v>
      </c>
      <c r="K9" s="47" t="str">
        <f t="shared" ca="1" si="0"/>
        <v>Open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95" customHeight="1">
      <c r="A10" s="36">
        <v>46270</v>
      </c>
      <c r="B10" s="16" t="s">
        <v>614</v>
      </c>
      <c r="C10" s="16" t="s">
        <v>76</v>
      </c>
      <c r="D10" s="16" t="s">
        <v>281</v>
      </c>
      <c r="E10" s="16" t="s">
        <v>282</v>
      </c>
      <c r="F10" s="16" t="s">
        <v>615</v>
      </c>
      <c r="G10" s="16" t="s">
        <v>611</v>
      </c>
      <c r="H10" s="29">
        <v>46300</v>
      </c>
      <c r="I10" s="38" t="s">
        <v>616</v>
      </c>
      <c r="J10" s="16" t="s">
        <v>613</v>
      </c>
      <c r="K10" s="47" t="str">
        <f t="shared" ca="1" si="0"/>
        <v>Open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95" customHeight="1">
      <c r="A11" s="37">
        <v>46271</v>
      </c>
      <c r="B11" s="18" t="s">
        <v>614</v>
      </c>
      <c r="C11" s="18" t="s">
        <v>76</v>
      </c>
      <c r="D11" s="18" t="s">
        <v>284</v>
      </c>
      <c r="E11" s="18" t="s">
        <v>285</v>
      </c>
      <c r="F11" s="18" t="s">
        <v>615</v>
      </c>
      <c r="G11" s="18" t="s">
        <v>611</v>
      </c>
      <c r="H11" s="31">
        <v>46301</v>
      </c>
      <c r="I11" s="38" t="s">
        <v>616</v>
      </c>
      <c r="J11" s="18" t="s">
        <v>613</v>
      </c>
      <c r="K11" s="47" t="str">
        <f t="shared" ca="1" si="0"/>
        <v>Open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95" customHeight="1">
      <c r="A12" s="36">
        <v>46272</v>
      </c>
      <c r="B12" s="16" t="s">
        <v>609</v>
      </c>
      <c r="C12" s="16" t="s">
        <v>76</v>
      </c>
      <c r="D12" s="16" t="s">
        <v>287</v>
      </c>
      <c r="E12" s="16" t="s">
        <v>288</v>
      </c>
      <c r="F12" s="16" t="s">
        <v>610</v>
      </c>
      <c r="G12" s="16" t="s">
        <v>611</v>
      </c>
      <c r="H12" s="29">
        <v>46302</v>
      </c>
      <c r="I12" s="44" t="s">
        <v>612</v>
      </c>
      <c r="J12" s="16" t="s">
        <v>613</v>
      </c>
      <c r="K12" s="47" t="str">
        <f t="shared" ca="1" si="0"/>
        <v>Open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95" customHeight="1">
      <c r="A13" s="37">
        <v>46273</v>
      </c>
      <c r="B13" s="18" t="s">
        <v>614</v>
      </c>
      <c r="C13" s="18" t="s">
        <v>76</v>
      </c>
      <c r="D13" s="18" t="s">
        <v>291</v>
      </c>
      <c r="E13" s="18" t="s">
        <v>292</v>
      </c>
      <c r="F13" s="18" t="s">
        <v>615</v>
      </c>
      <c r="G13" s="18" t="s">
        <v>611</v>
      </c>
      <c r="H13" s="31">
        <v>46303</v>
      </c>
      <c r="I13" s="38" t="s">
        <v>616</v>
      </c>
      <c r="J13" s="18" t="s">
        <v>613</v>
      </c>
      <c r="K13" s="47" t="str">
        <f t="shared" ca="1" si="0"/>
        <v>Open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95" customHeight="1">
      <c r="A14" s="36">
        <v>46274</v>
      </c>
      <c r="B14" s="16" t="s">
        <v>614</v>
      </c>
      <c r="C14" s="16" t="s">
        <v>76</v>
      </c>
      <c r="D14" s="16" t="s">
        <v>293</v>
      </c>
      <c r="E14" s="16" t="s">
        <v>294</v>
      </c>
      <c r="F14" s="16" t="s">
        <v>615</v>
      </c>
      <c r="G14" s="16" t="s">
        <v>611</v>
      </c>
      <c r="H14" s="29">
        <v>46304</v>
      </c>
      <c r="I14" s="38" t="s">
        <v>616</v>
      </c>
      <c r="J14" s="16" t="s">
        <v>613</v>
      </c>
      <c r="K14" s="47" t="str">
        <f t="shared" ca="1" si="0"/>
        <v>Open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95" customHeight="1">
      <c r="A15" s="37">
        <v>46275</v>
      </c>
      <c r="B15" s="18" t="s">
        <v>609</v>
      </c>
      <c r="C15" s="18" t="s">
        <v>76</v>
      </c>
      <c r="D15" s="18" t="s">
        <v>295</v>
      </c>
      <c r="E15" s="18" t="s">
        <v>296</v>
      </c>
      <c r="F15" s="18" t="s">
        <v>610</v>
      </c>
      <c r="G15" s="18" t="s">
        <v>611</v>
      </c>
      <c r="H15" s="31">
        <v>46305</v>
      </c>
      <c r="I15" s="44" t="s">
        <v>612</v>
      </c>
      <c r="J15" s="18" t="s">
        <v>613</v>
      </c>
      <c r="K15" s="47" t="str">
        <f t="shared" ca="1" si="0"/>
        <v>Open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95" customHeight="1">
      <c r="A16" s="36">
        <v>46276</v>
      </c>
      <c r="B16" s="16" t="s">
        <v>614</v>
      </c>
      <c r="C16" s="16" t="s">
        <v>76</v>
      </c>
      <c r="D16" s="16" t="s">
        <v>297</v>
      </c>
      <c r="E16" s="16" t="s">
        <v>298</v>
      </c>
      <c r="F16" s="16" t="s">
        <v>615</v>
      </c>
      <c r="G16" s="16" t="s">
        <v>611</v>
      </c>
      <c r="H16" s="29">
        <v>46306</v>
      </c>
      <c r="I16" s="38" t="s">
        <v>616</v>
      </c>
      <c r="J16" s="16" t="s">
        <v>613</v>
      </c>
      <c r="K16" s="47" t="str">
        <f t="shared" ca="1" si="0"/>
        <v>Open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95" customHeight="1">
      <c r="A17" s="37">
        <v>46277</v>
      </c>
      <c r="B17" s="18" t="s">
        <v>614</v>
      </c>
      <c r="C17" s="18" t="s">
        <v>76</v>
      </c>
      <c r="D17" s="18" t="s">
        <v>300</v>
      </c>
      <c r="E17" s="18" t="s">
        <v>301</v>
      </c>
      <c r="F17" s="18" t="s">
        <v>615</v>
      </c>
      <c r="G17" s="18" t="s">
        <v>611</v>
      </c>
      <c r="H17" s="31">
        <v>46307</v>
      </c>
      <c r="I17" s="38" t="s">
        <v>616</v>
      </c>
      <c r="J17" s="18" t="s">
        <v>613</v>
      </c>
      <c r="K17" s="47" t="str">
        <f t="shared" ca="1" si="0"/>
        <v>Open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95" customHeight="1">
      <c r="A18" s="36">
        <v>46278</v>
      </c>
      <c r="B18" s="16" t="s">
        <v>609</v>
      </c>
      <c r="C18" s="16" t="s">
        <v>76</v>
      </c>
      <c r="D18" s="16" t="s">
        <v>303</v>
      </c>
      <c r="E18" s="16" t="s">
        <v>304</v>
      </c>
      <c r="F18" s="16" t="s">
        <v>610</v>
      </c>
      <c r="G18" s="16" t="s">
        <v>611</v>
      </c>
      <c r="H18" s="29">
        <v>46308</v>
      </c>
      <c r="I18" s="44" t="s">
        <v>612</v>
      </c>
      <c r="J18" s="16" t="s">
        <v>613</v>
      </c>
      <c r="K18" s="47" t="str">
        <f t="shared" ca="1" si="0"/>
        <v>Open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95" customHeight="1">
      <c r="A19" s="37">
        <v>46279</v>
      </c>
      <c r="B19" s="18" t="s">
        <v>614</v>
      </c>
      <c r="C19" s="18" t="s">
        <v>76</v>
      </c>
      <c r="D19" s="18" t="s">
        <v>305</v>
      </c>
      <c r="E19" s="18" t="s">
        <v>306</v>
      </c>
      <c r="F19" s="18" t="s">
        <v>615</v>
      </c>
      <c r="G19" s="18" t="s">
        <v>611</v>
      </c>
      <c r="H19" s="31">
        <v>46309</v>
      </c>
      <c r="I19" s="38" t="s">
        <v>616</v>
      </c>
      <c r="J19" s="18" t="s">
        <v>613</v>
      </c>
      <c r="K19" s="47" t="str">
        <f t="shared" ca="1" si="0"/>
        <v>Open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95" customHeight="1">
      <c r="A20" s="36">
        <v>46280</v>
      </c>
      <c r="B20" s="16" t="s">
        <v>614</v>
      </c>
      <c r="C20" s="16" t="s">
        <v>76</v>
      </c>
      <c r="D20" s="16" t="s">
        <v>310</v>
      </c>
      <c r="E20" s="16" t="s">
        <v>311</v>
      </c>
      <c r="F20" s="16" t="s">
        <v>615</v>
      </c>
      <c r="G20" s="16" t="s">
        <v>611</v>
      </c>
      <c r="H20" s="29">
        <v>46310</v>
      </c>
      <c r="I20" s="38" t="s">
        <v>616</v>
      </c>
      <c r="J20" s="16" t="s">
        <v>613</v>
      </c>
      <c r="K20" s="47" t="str">
        <f t="shared" ca="1" si="0"/>
        <v>Open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95" customHeight="1">
      <c r="A21" s="37">
        <v>46281</v>
      </c>
      <c r="B21" s="18" t="s">
        <v>609</v>
      </c>
      <c r="C21" s="18" t="s">
        <v>76</v>
      </c>
      <c r="D21" s="18" t="s">
        <v>314</v>
      </c>
      <c r="E21" s="18" t="s">
        <v>315</v>
      </c>
      <c r="F21" s="18" t="s">
        <v>610</v>
      </c>
      <c r="G21" s="18" t="s">
        <v>611</v>
      </c>
      <c r="H21" s="31">
        <v>46311</v>
      </c>
      <c r="I21" s="44" t="s">
        <v>612</v>
      </c>
      <c r="J21" s="18" t="s">
        <v>613</v>
      </c>
      <c r="K21" s="47" t="str">
        <f t="shared" ca="1" si="0"/>
        <v>Open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95" customHeight="1">
      <c r="A22" s="36">
        <v>46282</v>
      </c>
      <c r="B22" s="16" t="s">
        <v>614</v>
      </c>
      <c r="C22" s="16" t="s">
        <v>76</v>
      </c>
      <c r="D22" s="16" t="s">
        <v>317</v>
      </c>
      <c r="E22" s="16" t="s">
        <v>318</v>
      </c>
      <c r="F22" s="16" t="s">
        <v>615</v>
      </c>
      <c r="G22" s="16" t="s">
        <v>611</v>
      </c>
      <c r="H22" s="29">
        <v>46312</v>
      </c>
      <c r="I22" s="38" t="s">
        <v>616</v>
      </c>
      <c r="J22" s="16" t="s">
        <v>613</v>
      </c>
      <c r="K22" s="47" t="str">
        <f t="shared" ca="1" si="0"/>
        <v>Open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95" customHeight="1">
      <c r="A23" s="37">
        <v>46283</v>
      </c>
      <c r="B23" s="18" t="s">
        <v>614</v>
      </c>
      <c r="C23" s="18" t="s">
        <v>76</v>
      </c>
      <c r="D23" s="18" t="s">
        <v>320</v>
      </c>
      <c r="E23" s="18" t="s">
        <v>321</v>
      </c>
      <c r="F23" s="18" t="s">
        <v>615</v>
      </c>
      <c r="G23" s="18" t="s">
        <v>611</v>
      </c>
      <c r="H23" s="31">
        <v>46313</v>
      </c>
      <c r="I23" s="38" t="s">
        <v>616</v>
      </c>
      <c r="J23" s="18" t="s">
        <v>613</v>
      </c>
      <c r="K23" s="47" t="str">
        <f t="shared" ca="1" si="0"/>
        <v>Open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95" customHeight="1">
      <c r="A24" s="36">
        <v>46284</v>
      </c>
      <c r="B24" s="16" t="s">
        <v>609</v>
      </c>
      <c r="C24" s="16" t="s">
        <v>76</v>
      </c>
      <c r="D24" s="16" t="s">
        <v>323</v>
      </c>
      <c r="E24" s="16" t="s">
        <v>324</v>
      </c>
      <c r="F24" s="16" t="s">
        <v>610</v>
      </c>
      <c r="G24" s="16" t="s">
        <v>611</v>
      </c>
      <c r="H24" s="29">
        <v>46314</v>
      </c>
      <c r="I24" s="44" t="s">
        <v>612</v>
      </c>
      <c r="J24" s="16" t="s">
        <v>613</v>
      </c>
      <c r="K24" s="47" t="str">
        <f t="shared" ca="1" si="0"/>
        <v>Open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95" customHeight="1">
      <c r="A25" s="37">
        <v>46285</v>
      </c>
      <c r="B25" s="18" t="s">
        <v>614</v>
      </c>
      <c r="C25" s="18" t="s">
        <v>76</v>
      </c>
      <c r="D25" s="18" t="s">
        <v>327</v>
      </c>
      <c r="E25" s="18" t="s">
        <v>328</v>
      </c>
      <c r="F25" s="18" t="s">
        <v>615</v>
      </c>
      <c r="G25" s="18" t="s">
        <v>611</v>
      </c>
      <c r="H25" s="31">
        <v>46315</v>
      </c>
      <c r="I25" s="38" t="s">
        <v>616</v>
      </c>
      <c r="J25" s="18" t="s">
        <v>613</v>
      </c>
      <c r="K25" s="47" t="str">
        <f t="shared" ca="1" si="0"/>
        <v>Open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95" customHeight="1">
      <c r="A26" s="36">
        <v>46286</v>
      </c>
      <c r="B26" s="16" t="s">
        <v>614</v>
      </c>
      <c r="C26" s="16" t="s">
        <v>76</v>
      </c>
      <c r="D26" s="16" t="s">
        <v>330</v>
      </c>
      <c r="E26" s="16" t="s">
        <v>331</v>
      </c>
      <c r="F26" s="16" t="s">
        <v>615</v>
      </c>
      <c r="G26" s="16" t="s">
        <v>611</v>
      </c>
      <c r="H26" s="29">
        <v>46316</v>
      </c>
      <c r="I26" s="38" t="s">
        <v>616</v>
      </c>
      <c r="J26" s="16" t="s">
        <v>613</v>
      </c>
      <c r="K26" s="47" t="str">
        <f t="shared" ca="1" si="0"/>
        <v>Open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95" customHeight="1">
      <c r="A27" s="37">
        <v>46287</v>
      </c>
      <c r="B27" s="18" t="s">
        <v>609</v>
      </c>
      <c r="C27" s="18" t="s">
        <v>76</v>
      </c>
      <c r="D27" s="18" t="s">
        <v>333</v>
      </c>
      <c r="E27" s="18" t="s">
        <v>334</v>
      </c>
      <c r="F27" s="18" t="s">
        <v>610</v>
      </c>
      <c r="G27" s="18" t="s">
        <v>611</v>
      </c>
      <c r="H27" s="31">
        <v>46317</v>
      </c>
      <c r="I27" s="44" t="s">
        <v>612</v>
      </c>
      <c r="J27" s="18" t="s">
        <v>613</v>
      </c>
      <c r="K27" s="47" t="str">
        <f t="shared" ca="1" si="0"/>
        <v>Open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95" customHeight="1">
      <c r="A28" s="36">
        <v>46288</v>
      </c>
      <c r="B28" s="16" t="s">
        <v>614</v>
      </c>
      <c r="C28" s="16" t="s">
        <v>76</v>
      </c>
      <c r="D28" s="16" t="s">
        <v>336</v>
      </c>
      <c r="E28" s="16" t="s">
        <v>337</v>
      </c>
      <c r="F28" s="16" t="s">
        <v>615</v>
      </c>
      <c r="G28" s="16" t="s">
        <v>611</v>
      </c>
      <c r="H28" s="29">
        <v>46318</v>
      </c>
      <c r="I28" s="38" t="s">
        <v>616</v>
      </c>
      <c r="J28" s="16" t="s">
        <v>613</v>
      </c>
      <c r="K28" s="47" t="str">
        <f t="shared" ca="1" si="0"/>
        <v>Open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95" customHeight="1">
      <c r="A29" s="37">
        <v>46289</v>
      </c>
      <c r="B29" s="18" t="s">
        <v>614</v>
      </c>
      <c r="C29" s="18" t="s">
        <v>76</v>
      </c>
      <c r="D29" s="18" t="s">
        <v>339</v>
      </c>
      <c r="E29" s="18" t="s">
        <v>340</v>
      </c>
      <c r="F29" s="18" t="s">
        <v>615</v>
      </c>
      <c r="G29" s="18" t="s">
        <v>611</v>
      </c>
      <c r="H29" s="31">
        <v>46319</v>
      </c>
      <c r="I29" s="38" t="s">
        <v>616</v>
      </c>
      <c r="J29" s="18" t="s">
        <v>613</v>
      </c>
      <c r="K29" s="47" t="str">
        <f t="shared" ca="1" si="0"/>
        <v>Open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95" customHeight="1">
      <c r="A30" s="36">
        <v>46290</v>
      </c>
      <c r="B30" s="16" t="s">
        <v>609</v>
      </c>
      <c r="C30" s="16" t="s">
        <v>76</v>
      </c>
      <c r="D30" s="16" t="s">
        <v>343</v>
      </c>
      <c r="E30" s="16" t="s">
        <v>344</v>
      </c>
      <c r="F30" s="16" t="s">
        <v>610</v>
      </c>
      <c r="G30" s="16" t="s">
        <v>611</v>
      </c>
      <c r="H30" s="29">
        <v>46320</v>
      </c>
      <c r="I30" s="44" t="s">
        <v>612</v>
      </c>
      <c r="J30" s="16" t="s">
        <v>613</v>
      </c>
      <c r="K30" s="47" t="str">
        <f t="shared" ca="1" si="0"/>
        <v>Open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95" customHeight="1">
      <c r="A31" s="37">
        <v>46291</v>
      </c>
      <c r="B31" s="18" t="s">
        <v>614</v>
      </c>
      <c r="C31" s="18" t="s">
        <v>76</v>
      </c>
      <c r="D31" s="18" t="s">
        <v>346</v>
      </c>
      <c r="E31" s="18" t="s">
        <v>347</v>
      </c>
      <c r="F31" s="18" t="s">
        <v>615</v>
      </c>
      <c r="G31" s="18" t="s">
        <v>611</v>
      </c>
      <c r="H31" s="31">
        <v>46321</v>
      </c>
      <c r="I31" s="38" t="s">
        <v>616</v>
      </c>
      <c r="J31" s="18" t="s">
        <v>613</v>
      </c>
      <c r="K31" s="47" t="str">
        <f t="shared" ca="1" si="0"/>
        <v>Open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95" customHeight="1">
      <c r="A32" s="36">
        <v>46292</v>
      </c>
      <c r="B32" s="16" t="s">
        <v>614</v>
      </c>
      <c r="C32" s="16" t="s">
        <v>76</v>
      </c>
      <c r="D32" s="16" t="s">
        <v>349</v>
      </c>
      <c r="E32" s="16" t="s">
        <v>350</v>
      </c>
      <c r="F32" s="16" t="s">
        <v>615</v>
      </c>
      <c r="G32" s="16" t="s">
        <v>611</v>
      </c>
      <c r="H32" s="29">
        <v>46322</v>
      </c>
      <c r="I32" s="38" t="s">
        <v>616</v>
      </c>
      <c r="J32" s="16" t="s">
        <v>613</v>
      </c>
      <c r="K32" s="47" t="str">
        <f t="shared" ca="1" si="0"/>
        <v>Open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95" customHeight="1">
      <c r="A33" s="37">
        <v>46293</v>
      </c>
      <c r="B33" s="18" t="s">
        <v>609</v>
      </c>
      <c r="C33" s="18" t="s">
        <v>76</v>
      </c>
      <c r="D33" s="18" t="s">
        <v>352</v>
      </c>
      <c r="E33" s="18" t="s">
        <v>353</v>
      </c>
      <c r="F33" s="18" t="s">
        <v>610</v>
      </c>
      <c r="G33" s="18" t="s">
        <v>611</v>
      </c>
      <c r="H33" s="31">
        <v>46323</v>
      </c>
      <c r="I33" s="44" t="s">
        <v>612</v>
      </c>
      <c r="J33" s="18" t="s">
        <v>613</v>
      </c>
      <c r="K33" s="47" t="str">
        <f t="shared" ca="1" si="0"/>
        <v>Open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95" customHeight="1">
      <c r="A34" s="36">
        <v>46294</v>
      </c>
      <c r="B34" s="16" t="s">
        <v>614</v>
      </c>
      <c r="C34" s="16" t="s">
        <v>76</v>
      </c>
      <c r="D34" s="16" t="s">
        <v>355</v>
      </c>
      <c r="E34" s="16" t="s">
        <v>356</v>
      </c>
      <c r="F34" s="16" t="s">
        <v>615</v>
      </c>
      <c r="G34" s="16" t="s">
        <v>611</v>
      </c>
      <c r="H34" s="29">
        <v>46324</v>
      </c>
      <c r="I34" s="38" t="s">
        <v>616</v>
      </c>
      <c r="J34" s="16" t="s">
        <v>613</v>
      </c>
      <c r="K34" s="47" t="str">
        <f t="shared" ca="1" si="0"/>
        <v>Open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95" customHeight="1">
      <c r="A35" s="37">
        <v>46295</v>
      </c>
      <c r="B35" s="18" t="s">
        <v>614</v>
      </c>
      <c r="C35" s="18" t="s">
        <v>76</v>
      </c>
      <c r="D35" s="18" t="s">
        <v>358</v>
      </c>
      <c r="E35" s="18" t="s">
        <v>359</v>
      </c>
      <c r="F35" s="18" t="s">
        <v>615</v>
      </c>
      <c r="G35" s="18" t="s">
        <v>611</v>
      </c>
      <c r="H35" s="31">
        <v>46325</v>
      </c>
      <c r="I35" s="38" t="s">
        <v>616</v>
      </c>
      <c r="J35" s="18" t="s">
        <v>613</v>
      </c>
      <c r="K35" s="47" t="str">
        <f t="shared" ca="1" si="0"/>
        <v>Open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</sheetData>
  <conditionalFormatting sqref="K6:K35">
    <cfRule type="containsText" dxfId="1" priority="1" operator="containsText" text="OVERDUE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Lists!$F$6:$F$10</xm:f>
          </x14:formula1>
          <xm:sqref>I6:I35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B6B"/>
  </sheetPr>
  <dimension ref="A1:Z132"/>
  <sheetViews>
    <sheetView showGridLines="0" workbookViewId="0">
      <pane ySplit="5" topLeftCell="A59" activePane="bottomLeft" state="frozen"/>
      <selection pane="bottomLeft"/>
    </sheetView>
  </sheetViews>
  <sheetFormatPr defaultRowHeight="13.8"/>
  <cols>
    <col min="1" max="1" width="60" customWidth="1"/>
    <col min="2" max="2" width="28" customWidth="1"/>
    <col min="3" max="4" width="18" customWidth="1"/>
    <col min="5" max="5" width="55" customWidth="1"/>
    <col min="6" max="6" width="16" customWidth="1"/>
    <col min="7" max="7" width="28" customWidth="1"/>
  </cols>
  <sheetData>
    <row r="1" spans="1:26" ht="28.05" customHeight="1">
      <c r="A1" s="6" t="s">
        <v>617</v>
      </c>
      <c r="B1" s="6"/>
      <c r="C1" s="6"/>
      <c r="D1" s="6"/>
      <c r="E1" s="6"/>
      <c r="F1" s="6"/>
      <c r="G1" s="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95" customHeight="1">
      <c r="A2" s="7" t="s">
        <v>618</v>
      </c>
      <c r="B2" s="7"/>
      <c r="C2" s="7"/>
      <c r="D2" s="7"/>
      <c r="E2" s="7"/>
      <c r="F2" s="7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8"/>
      <c r="B3" s="8"/>
      <c r="C3" s="8"/>
      <c r="D3" s="8"/>
      <c r="E3" s="8"/>
      <c r="F3" s="8"/>
      <c r="G3" s="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"/>
      <c r="B4" s="5"/>
      <c r="C4" s="5"/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>
      <c r="A5" s="27" t="s">
        <v>64</v>
      </c>
      <c r="B5" s="27" t="s">
        <v>257</v>
      </c>
      <c r="C5" s="27" t="s">
        <v>619</v>
      </c>
      <c r="D5" s="27" t="s">
        <v>620</v>
      </c>
      <c r="E5" s="27" t="s">
        <v>621</v>
      </c>
      <c r="F5" s="27" t="s">
        <v>622</v>
      </c>
      <c r="G5" s="27" t="s">
        <v>623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95" customHeight="1">
      <c r="A6" s="28" t="s">
        <v>79</v>
      </c>
      <c r="B6" s="16" t="s">
        <v>624</v>
      </c>
      <c r="C6" s="16" t="s">
        <v>67</v>
      </c>
      <c r="D6" s="16" t="s">
        <v>68</v>
      </c>
      <c r="E6" s="16" t="s">
        <v>625</v>
      </c>
      <c r="F6" s="29">
        <v>46295</v>
      </c>
      <c r="G6" s="46" t="s">
        <v>626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95" customHeight="1">
      <c r="A7" s="30" t="s">
        <v>88</v>
      </c>
      <c r="B7" s="18" t="s">
        <v>624</v>
      </c>
      <c r="C7" s="18" t="s">
        <v>80</v>
      </c>
      <c r="D7" s="18" t="s">
        <v>81</v>
      </c>
      <c r="E7" s="18" t="s">
        <v>627</v>
      </c>
      <c r="F7" s="31">
        <v>46295</v>
      </c>
      <c r="G7" s="46" t="s">
        <v>626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95" customHeight="1">
      <c r="A8" s="28" t="s">
        <v>95</v>
      </c>
      <c r="B8" s="16" t="s">
        <v>624</v>
      </c>
      <c r="C8" s="16" t="s">
        <v>89</v>
      </c>
      <c r="D8" s="16" t="s">
        <v>90</v>
      </c>
      <c r="E8" s="16" t="s">
        <v>628</v>
      </c>
      <c r="F8" s="29">
        <v>46295</v>
      </c>
      <c r="G8" s="46" t="s">
        <v>626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95" customHeight="1">
      <c r="A9" s="30" t="s">
        <v>103</v>
      </c>
      <c r="B9" s="18" t="s">
        <v>624</v>
      </c>
      <c r="C9" s="18" t="s">
        <v>96</v>
      </c>
      <c r="D9" s="18" t="s">
        <v>97</v>
      </c>
      <c r="E9" s="18" t="s">
        <v>629</v>
      </c>
      <c r="F9" s="31">
        <v>46295</v>
      </c>
      <c r="G9" s="46" t="s">
        <v>626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95" customHeight="1">
      <c r="A10" s="28" t="s">
        <v>109</v>
      </c>
      <c r="B10" s="16" t="s">
        <v>624</v>
      </c>
      <c r="C10" s="16" t="s">
        <v>104</v>
      </c>
      <c r="D10" s="16" t="s">
        <v>105</v>
      </c>
      <c r="E10" s="16" t="s">
        <v>630</v>
      </c>
      <c r="F10" s="29">
        <v>46295</v>
      </c>
      <c r="G10" s="46" t="s">
        <v>626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95" customHeight="1">
      <c r="A11" s="30" t="s">
        <v>115</v>
      </c>
      <c r="B11" s="18" t="s">
        <v>624</v>
      </c>
      <c r="C11" s="18" t="s">
        <v>110</v>
      </c>
      <c r="D11" s="18" t="s">
        <v>111</v>
      </c>
      <c r="E11" s="18" t="s">
        <v>631</v>
      </c>
      <c r="F11" s="31">
        <v>46295</v>
      </c>
      <c r="G11" s="46" t="s">
        <v>626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95" customHeight="1">
      <c r="A12" s="28" t="s">
        <v>124</v>
      </c>
      <c r="B12" s="16" t="s">
        <v>624</v>
      </c>
      <c r="C12" s="16" t="s">
        <v>116</v>
      </c>
      <c r="D12" s="16" t="s">
        <v>117</v>
      </c>
      <c r="E12" s="16" t="s">
        <v>632</v>
      </c>
      <c r="F12" s="29">
        <v>46295</v>
      </c>
      <c r="G12" s="46" t="s">
        <v>626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95" customHeight="1">
      <c r="A13" s="30" t="s">
        <v>132</v>
      </c>
      <c r="B13" s="18" t="s">
        <v>624</v>
      </c>
      <c r="C13" s="18" t="s">
        <v>125</v>
      </c>
      <c r="D13" s="18" t="s">
        <v>126</v>
      </c>
      <c r="E13" s="18" t="s">
        <v>633</v>
      </c>
      <c r="F13" s="31">
        <v>46295</v>
      </c>
      <c r="G13" s="46" t="s">
        <v>626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95" customHeight="1">
      <c r="A14" s="28" t="s">
        <v>139</v>
      </c>
      <c r="B14" s="16" t="s">
        <v>624</v>
      </c>
      <c r="C14" s="16" t="s">
        <v>133</v>
      </c>
      <c r="D14" s="16" t="s">
        <v>134</v>
      </c>
      <c r="E14" s="16" t="s">
        <v>634</v>
      </c>
      <c r="F14" s="29">
        <v>46295</v>
      </c>
      <c r="G14" s="46" t="s">
        <v>626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95" customHeight="1">
      <c r="A15" s="30" t="s">
        <v>145</v>
      </c>
      <c r="B15" s="18" t="s">
        <v>624</v>
      </c>
      <c r="C15" s="18" t="s">
        <v>140</v>
      </c>
      <c r="D15" s="18" t="s">
        <v>141</v>
      </c>
      <c r="E15" s="18" t="s">
        <v>635</v>
      </c>
      <c r="F15" s="31">
        <v>46295</v>
      </c>
      <c r="G15" s="46" t="s">
        <v>626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95" customHeight="1">
      <c r="A16" s="28" t="s">
        <v>152</v>
      </c>
      <c r="B16" s="16" t="s">
        <v>624</v>
      </c>
      <c r="C16" s="16" t="s">
        <v>146</v>
      </c>
      <c r="D16" s="16" t="s">
        <v>147</v>
      </c>
      <c r="E16" s="16" t="s">
        <v>636</v>
      </c>
      <c r="F16" s="29">
        <v>46295</v>
      </c>
      <c r="G16" s="46" t="s">
        <v>626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95" customHeight="1">
      <c r="A17" s="30" t="s">
        <v>159</v>
      </c>
      <c r="B17" s="18" t="s">
        <v>624</v>
      </c>
      <c r="C17" s="18" t="s">
        <v>153</v>
      </c>
      <c r="D17" s="18" t="s">
        <v>154</v>
      </c>
      <c r="E17" s="18" t="s">
        <v>637</v>
      </c>
      <c r="F17" s="31">
        <v>46295</v>
      </c>
      <c r="G17" s="46" t="s">
        <v>626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95" customHeight="1">
      <c r="A18" s="28" t="s">
        <v>165</v>
      </c>
      <c r="B18" s="16" t="s">
        <v>624</v>
      </c>
      <c r="C18" s="16" t="s">
        <v>160</v>
      </c>
      <c r="D18" s="16" t="s">
        <v>161</v>
      </c>
      <c r="E18" s="16" t="s">
        <v>638</v>
      </c>
      <c r="F18" s="29">
        <v>46295</v>
      </c>
      <c r="G18" s="46" t="s">
        <v>626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95" customHeight="1">
      <c r="A19" s="30" t="s">
        <v>170</v>
      </c>
      <c r="B19" s="18" t="s">
        <v>624</v>
      </c>
      <c r="C19" s="18" t="s">
        <v>166</v>
      </c>
      <c r="D19" s="18" t="s">
        <v>167</v>
      </c>
      <c r="E19" s="18" t="s">
        <v>639</v>
      </c>
      <c r="F19" s="31">
        <v>46295</v>
      </c>
      <c r="G19" s="46" t="s">
        <v>626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95" customHeight="1">
      <c r="A20" s="28" t="s">
        <v>179</v>
      </c>
      <c r="B20" s="16" t="s">
        <v>624</v>
      </c>
      <c r="C20" s="16" t="s">
        <v>171</v>
      </c>
      <c r="D20" s="16" t="s">
        <v>172</v>
      </c>
      <c r="E20" s="16" t="s">
        <v>640</v>
      </c>
      <c r="F20" s="29">
        <v>46295</v>
      </c>
      <c r="G20" s="46" t="s">
        <v>626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95" customHeight="1">
      <c r="A21" s="30" t="s">
        <v>186</v>
      </c>
      <c r="B21" s="18" t="s">
        <v>624</v>
      </c>
      <c r="C21" s="18" t="s">
        <v>180</v>
      </c>
      <c r="D21" s="18" t="s">
        <v>181</v>
      </c>
      <c r="E21" s="18" t="s">
        <v>641</v>
      </c>
      <c r="F21" s="31">
        <v>46295</v>
      </c>
      <c r="G21" s="46" t="s">
        <v>626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95" customHeight="1">
      <c r="A22" s="28" t="s">
        <v>191</v>
      </c>
      <c r="B22" s="16" t="s">
        <v>624</v>
      </c>
      <c r="C22" s="16" t="s">
        <v>187</v>
      </c>
      <c r="D22" s="16" t="s">
        <v>188</v>
      </c>
      <c r="E22" s="16" t="s">
        <v>642</v>
      </c>
      <c r="F22" s="29">
        <v>46295</v>
      </c>
      <c r="G22" s="46" t="s">
        <v>626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95" customHeight="1">
      <c r="A23" s="30" t="s">
        <v>199</v>
      </c>
      <c r="B23" s="18" t="s">
        <v>624</v>
      </c>
      <c r="C23" s="18" t="s">
        <v>192</v>
      </c>
      <c r="D23" s="18" t="s">
        <v>193</v>
      </c>
      <c r="E23" s="18" t="s">
        <v>643</v>
      </c>
      <c r="F23" s="31">
        <v>46295</v>
      </c>
      <c r="G23" s="46" t="s">
        <v>626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95" customHeight="1">
      <c r="A24" s="28" t="s">
        <v>207</v>
      </c>
      <c r="B24" s="16" t="s">
        <v>624</v>
      </c>
      <c r="C24" s="16" t="s">
        <v>200</v>
      </c>
      <c r="D24" s="16" t="s">
        <v>201</v>
      </c>
      <c r="E24" s="16" t="s">
        <v>644</v>
      </c>
      <c r="F24" s="29">
        <v>46295</v>
      </c>
      <c r="G24" s="46" t="s">
        <v>626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95" customHeight="1">
      <c r="A25" s="30" t="s">
        <v>214</v>
      </c>
      <c r="B25" s="18" t="s">
        <v>624</v>
      </c>
      <c r="C25" s="18" t="s">
        <v>208</v>
      </c>
      <c r="D25" s="18" t="s">
        <v>209</v>
      </c>
      <c r="E25" s="18" t="s">
        <v>645</v>
      </c>
      <c r="F25" s="31">
        <v>46295</v>
      </c>
      <c r="G25" s="46" t="s">
        <v>626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95" customHeight="1">
      <c r="A26" s="28" t="s">
        <v>221</v>
      </c>
      <c r="B26" s="16" t="s">
        <v>624</v>
      </c>
      <c r="C26" s="16" t="s">
        <v>215</v>
      </c>
      <c r="D26" s="16" t="s">
        <v>216</v>
      </c>
      <c r="E26" s="16" t="s">
        <v>646</v>
      </c>
      <c r="F26" s="29">
        <v>46295</v>
      </c>
      <c r="G26" s="46" t="s">
        <v>626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95" customHeight="1">
      <c r="A27" s="30" t="s">
        <v>228</v>
      </c>
      <c r="B27" s="18" t="s">
        <v>624</v>
      </c>
      <c r="C27" s="18" t="s">
        <v>222</v>
      </c>
      <c r="D27" s="18" t="s">
        <v>223</v>
      </c>
      <c r="E27" s="18" t="s">
        <v>647</v>
      </c>
      <c r="F27" s="31">
        <v>46295</v>
      </c>
      <c r="G27" s="46" t="s">
        <v>626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95" customHeight="1">
      <c r="A28" s="28" t="s">
        <v>235</v>
      </c>
      <c r="B28" s="16" t="s">
        <v>624</v>
      </c>
      <c r="C28" s="16" t="s">
        <v>229</v>
      </c>
      <c r="D28" s="16" t="s">
        <v>230</v>
      </c>
      <c r="E28" s="16" t="s">
        <v>648</v>
      </c>
      <c r="F28" s="29">
        <v>46295</v>
      </c>
      <c r="G28" s="46" t="s">
        <v>626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95" customHeight="1">
      <c r="A29" s="30" t="s">
        <v>239</v>
      </c>
      <c r="B29" s="18" t="s">
        <v>624</v>
      </c>
      <c r="C29" s="18" t="s">
        <v>236</v>
      </c>
      <c r="D29" s="18" t="s">
        <v>237</v>
      </c>
      <c r="E29" s="18" t="s">
        <v>649</v>
      </c>
      <c r="F29" s="31">
        <v>46295</v>
      </c>
      <c r="G29" s="46" t="s">
        <v>626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95" customHeight="1">
      <c r="A30" s="28" t="s">
        <v>245</v>
      </c>
      <c r="B30" s="16" t="s">
        <v>624</v>
      </c>
      <c r="C30" s="16" t="s">
        <v>240</v>
      </c>
      <c r="D30" s="16" t="s">
        <v>241</v>
      </c>
      <c r="E30" s="16" t="s">
        <v>650</v>
      </c>
      <c r="F30" s="29">
        <v>46295</v>
      </c>
      <c r="G30" s="46" t="s">
        <v>626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95" customHeight="1">
      <c r="A31" s="30" t="s">
        <v>79</v>
      </c>
      <c r="B31" s="18" t="s">
        <v>268</v>
      </c>
      <c r="C31" s="18" t="s">
        <v>67</v>
      </c>
      <c r="D31" s="18" t="s">
        <v>262</v>
      </c>
      <c r="E31" s="18" t="s">
        <v>651</v>
      </c>
      <c r="F31" s="31">
        <v>46295</v>
      </c>
      <c r="G31" s="46" t="s">
        <v>652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95" customHeight="1">
      <c r="A32" s="28" t="s">
        <v>79</v>
      </c>
      <c r="B32" s="16" t="s">
        <v>268</v>
      </c>
      <c r="C32" s="16" t="s">
        <v>67</v>
      </c>
      <c r="D32" s="16" t="s">
        <v>270</v>
      </c>
      <c r="E32" s="16" t="s">
        <v>653</v>
      </c>
      <c r="F32" s="29">
        <v>46295</v>
      </c>
      <c r="G32" s="46" t="s">
        <v>652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95" customHeight="1">
      <c r="A33" s="30" t="s">
        <v>79</v>
      </c>
      <c r="B33" s="18" t="s">
        <v>268</v>
      </c>
      <c r="C33" s="18" t="s">
        <v>67</v>
      </c>
      <c r="D33" s="18" t="s">
        <v>273</v>
      </c>
      <c r="E33" s="18" t="s">
        <v>654</v>
      </c>
      <c r="F33" s="31">
        <v>46295</v>
      </c>
      <c r="G33" s="46" t="s">
        <v>652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95" customHeight="1">
      <c r="A34" s="28" t="s">
        <v>79</v>
      </c>
      <c r="B34" s="16" t="s">
        <v>268</v>
      </c>
      <c r="C34" s="16" t="s">
        <v>67</v>
      </c>
      <c r="D34" s="16" t="s">
        <v>278</v>
      </c>
      <c r="E34" s="16" t="s">
        <v>655</v>
      </c>
      <c r="F34" s="29">
        <v>46295</v>
      </c>
      <c r="G34" s="46" t="s">
        <v>652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95" customHeight="1">
      <c r="A35" s="30" t="s">
        <v>79</v>
      </c>
      <c r="B35" s="18" t="s">
        <v>268</v>
      </c>
      <c r="C35" s="18" t="s">
        <v>67</v>
      </c>
      <c r="D35" s="18" t="s">
        <v>281</v>
      </c>
      <c r="E35" s="18" t="s">
        <v>656</v>
      </c>
      <c r="F35" s="31">
        <v>46295</v>
      </c>
      <c r="G35" s="46" t="s">
        <v>652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95" customHeight="1">
      <c r="A36" s="28" t="s">
        <v>79</v>
      </c>
      <c r="B36" s="16" t="s">
        <v>268</v>
      </c>
      <c r="C36" s="16" t="s">
        <v>67</v>
      </c>
      <c r="D36" s="16" t="s">
        <v>284</v>
      </c>
      <c r="E36" s="16" t="s">
        <v>657</v>
      </c>
      <c r="F36" s="29">
        <v>46295</v>
      </c>
      <c r="G36" s="46" t="s">
        <v>652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95" customHeight="1">
      <c r="A37" s="30" t="s">
        <v>79</v>
      </c>
      <c r="B37" s="18" t="s">
        <v>268</v>
      </c>
      <c r="C37" s="18" t="s">
        <v>67</v>
      </c>
      <c r="D37" s="18" t="s">
        <v>287</v>
      </c>
      <c r="E37" s="18" t="s">
        <v>658</v>
      </c>
      <c r="F37" s="31">
        <v>46295</v>
      </c>
      <c r="G37" s="46" t="s">
        <v>652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95" customHeight="1">
      <c r="A38" s="28" t="s">
        <v>79</v>
      </c>
      <c r="B38" s="16" t="s">
        <v>268</v>
      </c>
      <c r="C38" s="16" t="s">
        <v>67</v>
      </c>
      <c r="D38" s="16" t="s">
        <v>291</v>
      </c>
      <c r="E38" s="16" t="s">
        <v>659</v>
      </c>
      <c r="F38" s="29">
        <v>46295</v>
      </c>
      <c r="G38" s="46" t="s">
        <v>652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9.95" customHeight="1">
      <c r="A39" s="30" t="s">
        <v>79</v>
      </c>
      <c r="B39" s="18" t="s">
        <v>268</v>
      </c>
      <c r="C39" s="18" t="s">
        <v>67</v>
      </c>
      <c r="D39" s="18" t="s">
        <v>293</v>
      </c>
      <c r="E39" s="18" t="s">
        <v>660</v>
      </c>
      <c r="F39" s="31">
        <v>46295</v>
      </c>
      <c r="G39" s="46" t="s">
        <v>652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9.95" customHeight="1">
      <c r="A40" s="28" t="s">
        <v>79</v>
      </c>
      <c r="B40" s="16" t="s">
        <v>268</v>
      </c>
      <c r="C40" s="16" t="s">
        <v>67</v>
      </c>
      <c r="D40" s="16" t="s">
        <v>295</v>
      </c>
      <c r="E40" s="16" t="s">
        <v>661</v>
      </c>
      <c r="F40" s="29">
        <v>46295</v>
      </c>
      <c r="G40" s="46" t="s">
        <v>652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9.95" customHeight="1">
      <c r="A41" s="30" t="s">
        <v>79</v>
      </c>
      <c r="B41" s="18" t="s">
        <v>268</v>
      </c>
      <c r="C41" s="18" t="s">
        <v>67</v>
      </c>
      <c r="D41" s="18" t="s">
        <v>297</v>
      </c>
      <c r="E41" s="18" t="s">
        <v>662</v>
      </c>
      <c r="F41" s="31">
        <v>46295</v>
      </c>
      <c r="G41" s="46" t="s">
        <v>652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9.95" customHeight="1">
      <c r="A42" s="28" t="s">
        <v>79</v>
      </c>
      <c r="B42" s="16" t="s">
        <v>268</v>
      </c>
      <c r="C42" s="16" t="s">
        <v>67</v>
      </c>
      <c r="D42" s="16" t="s">
        <v>300</v>
      </c>
      <c r="E42" s="16" t="s">
        <v>663</v>
      </c>
      <c r="F42" s="29">
        <v>46295</v>
      </c>
      <c r="G42" s="46" t="s">
        <v>652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9.95" customHeight="1">
      <c r="A43" s="30" t="s">
        <v>79</v>
      </c>
      <c r="B43" s="18" t="s">
        <v>268</v>
      </c>
      <c r="C43" s="18" t="s">
        <v>67</v>
      </c>
      <c r="D43" s="18" t="s">
        <v>303</v>
      </c>
      <c r="E43" s="18" t="s">
        <v>664</v>
      </c>
      <c r="F43" s="31">
        <v>46295</v>
      </c>
      <c r="G43" s="46" t="s">
        <v>652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9.95" customHeight="1">
      <c r="A44" s="28" t="s">
        <v>79</v>
      </c>
      <c r="B44" s="16" t="s">
        <v>268</v>
      </c>
      <c r="C44" s="16" t="s">
        <v>67</v>
      </c>
      <c r="D44" s="16" t="s">
        <v>305</v>
      </c>
      <c r="E44" s="16" t="s">
        <v>665</v>
      </c>
      <c r="F44" s="29">
        <v>46295</v>
      </c>
      <c r="G44" s="47" t="s">
        <v>666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95" customHeight="1">
      <c r="A45" s="30" t="s">
        <v>79</v>
      </c>
      <c r="B45" s="18" t="s">
        <v>268</v>
      </c>
      <c r="C45" s="18" t="s">
        <v>67</v>
      </c>
      <c r="D45" s="18" t="s">
        <v>310</v>
      </c>
      <c r="E45" s="18" t="s">
        <v>667</v>
      </c>
      <c r="F45" s="31">
        <v>46295</v>
      </c>
      <c r="G45" s="47" t="s">
        <v>666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95" customHeight="1">
      <c r="A46" s="28" t="s">
        <v>88</v>
      </c>
      <c r="B46" s="16" t="s">
        <v>268</v>
      </c>
      <c r="C46" s="16" t="s">
        <v>80</v>
      </c>
      <c r="D46" s="16" t="s">
        <v>314</v>
      </c>
      <c r="E46" s="16" t="s">
        <v>668</v>
      </c>
      <c r="F46" s="29">
        <v>46295</v>
      </c>
      <c r="G46" s="46" t="s">
        <v>652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95" customHeight="1">
      <c r="A47" s="30" t="s">
        <v>88</v>
      </c>
      <c r="B47" s="18" t="s">
        <v>268</v>
      </c>
      <c r="C47" s="18" t="s">
        <v>80</v>
      </c>
      <c r="D47" s="18" t="s">
        <v>317</v>
      </c>
      <c r="E47" s="18" t="s">
        <v>669</v>
      </c>
      <c r="F47" s="31">
        <v>46295</v>
      </c>
      <c r="G47" s="46" t="s">
        <v>652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9.95" customHeight="1">
      <c r="A48" s="28" t="s">
        <v>88</v>
      </c>
      <c r="B48" s="16" t="s">
        <v>268</v>
      </c>
      <c r="C48" s="16" t="s">
        <v>80</v>
      </c>
      <c r="D48" s="16" t="s">
        <v>320</v>
      </c>
      <c r="E48" s="16" t="s">
        <v>670</v>
      </c>
      <c r="F48" s="29">
        <v>46295</v>
      </c>
      <c r="G48" s="46" t="s">
        <v>652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9.95" customHeight="1">
      <c r="A49" s="30" t="s">
        <v>88</v>
      </c>
      <c r="B49" s="18" t="s">
        <v>268</v>
      </c>
      <c r="C49" s="18" t="s">
        <v>80</v>
      </c>
      <c r="D49" s="18" t="s">
        <v>323</v>
      </c>
      <c r="E49" s="18" t="s">
        <v>671</v>
      </c>
      <c r="F49" s="31">
        <v>46295</v>
      </c>
      <c r="G49" s="46" t="s">
        <v>652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9.95" customHeight="1">
      <c r="A50" s="28" t="s">
        <v>88</v>
      </c>
      <c r="B50" s="16" t="s">
        <v>268</v>
      </c>
      <c r="C50" s="16" t="s">
        <v>80</v>
      </c>
      <c r="D50" s="16" t="s">
        <v>327</v>
      </c>
      <c r="E50" s="16" t="s">
        <v>672</v>
      </c>
      <c r="F50" s="29">
        <v>46295</v>
      </c>
      <c r="G50" s="46" t="s">
        <v>652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9.95" customHeight="1">
      <c r="A51" s="30" t="s">
        <v>88</v>
      </c>
      <c r="B51" s="18" t="s">
        <v>268</v>
      </c>
      <c r="C51" s="18" t="s">
        <v>80</v>
      </c>
      <c r="D51" s="18" t="s">
        <v>330</v>
      </c>
      <c r="E51" s="18" t="s">
        <v>673</v>
      </c>
      <c r="F51" s="31">
        <v>46295</v>
      </c>
      <c r="G51" s="46" t="s">
        <v>652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95" customHeight="1">
      <c r="A52" s="28" t="s">
        <v>88</v>
      </c>
      <c r="B52" s="16" t="s">
        <v>268</v>
      </c>
      <c r="C52" s="16" t="s">
        <v>80</v>
      </c>
      <c r="D52" s="16" t="s">
        <v>333</v>
      </c>
      <c r="E52" s="16" t="s">
        <v>674</v>
      </c>
      <c r="F52" s="29">
        <v>46295</v>
      </c>
      <c r="G52" s="46" t="s">
        <v>652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95" customHeight="1">
      <c r="A53" s="30" t="s">
        <v>88</v>
      </c>
      <c r="B53" s="18" t="s">
        <v>268</v>
      </c>
      <c r="C53" s="18" t="s">
        <v>80</v>
      </c>
      <c r="D53" s="18" t="s">
        <v>336</v>
      </c>
      <c r="E53" s="18" t="s">
        <v>675</v>
      </c>
      <c r="F53" s="31">
        <v>46295</v>
      </c>
      <c r="G53" s="46" t="s">
        <v>652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95" customHeight="1">
      <c r="A54" s="28" t="s">
        <v>88</v>
      </c>
      <c r="B54" s="16" t="s">
        <v>268</v>
      </c>
      <c r="C54" s="16" t="s">
        <v>80</v>
      </c>
      <c r="D54" s="16" t="s">
        <v>339</v>
      </c>
      <c r="E54" s="16" t="s">
        <v>676</v>
      </c>
      <c r="F54" s="29">
        <v>46295</v>
      </c>
      <c r="G54" s="46" t="s">
        <v>652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95" customHeight="1">
      <c r="A55" s="30" t="s">
        <v>88</v>
      </c>
      <c r="B55" s="18" t="s">
        <v>268</v>
      </c>
      <c r="C55" s="18" t="s">
        <v>80</v>
      </c>
      <c r="D55" s="18" t="s">
        <v>343</v>
      </c>
      <c r="E55" s="18" t="s">
        <v>677</v>
      </c>
      <c r="F55" s="31">
        <v>46295</v>
      </c>
      <c r="G55" s="46" t="s">
        <v>652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95" customHeight="1">
      <c r="A56" s="28" t="s">
        <v>95</v>
      </c>
      <c r="B56" s="16" t="s">
        <v>268</v>
      </c>
      <c r="C56" s="16" t="s">
        <v>89</v>
      </c>
      <c r="D56" s="16" t="s">
        <v>346</v>
      </c>
      <c r="E56" s="16" t="s">
        <v>678</v>
      </c>
      <c r="F56" s="29">
        <v>46295</v>
      </c>
      <c r="G56" s="46" t="s">
        <v>652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95" customHeight="1">
      <c r="A57" s="30" t="s">
        <v>95</v>
      </c>
      <c r="B57" s="18" t="s">
        <v>268</v>
      </c>
      <c r="C57" s="18" t="s">
        <v>89</v>
      </c>
      <c r="D57" s="18" t="s">
        <v>349</v>
      </c>
      <c r="E57" s="18" t="s">
        <v>679</v>
      </c>
      <c r="F57" s="31">
        <v>46295</v>
      </c>
      <c r="G57" s="46" t="s">
        <v>652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95" customHeight="1">
      <c r="A58" s="28" t="s">
        <v>95</v>
      </c>
      <c r="B58" s="16" t="s">
        <v>268</v>
      </c>
      <c r="C58" s="16" t="s">
        <v>89</v>
      </c>
      <c r="D58" s="16" t="s">
        <v>352</v>
      </c>
      <c r="E58" s="16" t="s">
        <v>680</v>
      </c>
      <c r="F58" s="29">
        <v>46295</v>
      </c>
      <c r="G58" s="47" t="s">
        <v>666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95" customHeight="1">
      <c r="A59" s="30" t="s">
        <v>95</v>
      </c>
      <c r="B59" s="18" t="s">
        <v>268</v>
      </c>
      <c r="C59" s="18" t="s">
        <v>89</v>
      </c>
      <c r="D59" s="18" t="s">
        <v>355</v>
      </c>
      <c r="E59" s="18" t="s">
        <v>681</v>
      </c>
      <c r="F59" s="31">
        <v>46295</v>
      </c>
      <c r="G59" s="47" t="s">
        <v>666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95" customHeight="1">
      <c r="A60" s="28" t="s">
        <v>95</v>
      </c>
      <c r="B60" s="16" t="s">
        <v>268</v>
      </c>
      <c r="C60" s="16" t="s">
        <v>89</v>
      </c>
      <c r="D60" s="16" t="s">
        <v>358</v>
      </c>
      <c r="E60" s="16" t="s">
        <v>682</v>
      </c>
      <c r="F60" s="29">
        <v>46295</v>
      </c>
      <c r="G60" s="47" t="s">
        <v>666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95" customHeight="1">
      <c r="A61" s="30" t="s">
        <v>103</v>
      </c>
      <c r="B61" s="18" t="s">
        <v>268</v>
      </c>
      <c r="C61" s="18" t="s">
        <v>96</v>
      </c>
      <c r="D61" s="18" t="s">
        <v>360</v>
      </c>
      <c r="E61" s="18" t="s">
        <v>683</v>
      </c>
      <c r="F61" s="31">
        <v>46295</v>
      </c>
      <c r="G61" s="46" t="s">
        <v>652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95" customHeight="1">
      <c r="A62" s="28" t="s">
        <v>103</v>
      </c>
      <c r="B62" s="16" t="s">
        <v>268</v>
      </c>
      <c r="C62" s="16" t="s">
        <v>96</v>
      </c>
      <c r="D62" s="16" t="s">
        <v>363</v>
      </c>
      <c r="E62" s="16" t="s">
        <v>684</v>
      </c>
      <c r="F62" s="29">
        <v>46295</v>
      </c>
      <c r="G62" s="46" t="s">
        <v>652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95" customHeight="1">
      <c r="A63" s="30" t="s">
        <v>103</v>
      </c>
      <c r="B63" s="18" t="s">
        <v>268</v>
      </c>
      <c r="C63" s="18" t="s">
        <v>96</v>
      </c>
      <c r="D63" s="18" t="s">
        <v>366</v>
      </c>
      <c r="E63" s="18" t="s">
        <v>685</v>
      </c>
      <c r="F63" s="31">
        <v>46295</v>
      </c>
      <c r="G63" s="46" t="s">
        <v>652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95" customHeight="1">
      <c r="A64" s="28" t="s">
        <v>103</v>
      </c>
      <c r="B64" s="16" t="s">
        <v>268</v>
      </c>
      <c r="C64" s="16" t="s">
        <v>96</v>
      </c>
      <c r="D64" s="16" t="s">
        <v>368</v>
      </c>
      <c r="E64" s="16" t="s">
        <v>686</v>
      </c>
      <c r="F64" s="29">
        <v>46295</v>
      </c>
      <c r="G64" s="46" t="s">
        <v>652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95" customHeight="1">
      <c r="A65" s="30" t="s">
        <v>103</v>
      </c>
      <c r="B65" s="18" t="s">
        <v>268</v>
      </c>
      <c r="C65" s="18" t="s">
        <v>96</v>
      </c>
      <c r="D65" s="18" t="s">
        <v>371</v>
      </c>
      <c r="E65" s="18" t="s">
        <v>687</v>
      </c>
      <c r="F65" s="31">
        <v>46295</v>
      </c>
      <c r="G65" s="46" t="s">
        <v>652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95" customHeight="1">
      <c r="A66" s="28" t="s">
        <v>103</v>
      </c>
      <c r="B66" s="16" t="s">
        <v>268</v>
      </c>
      <c r="C66" s="16" t="s">
        <v>96</v>
      </c>
      <c r="D66" s="16" t="s">
        <v>374</v>
      </c>
      <c r="E66" s="16" t="s">
        <v>688</v>
      </c>
      <c r="F66" s="29">
        <v>46295</v>
      </c>
      <c r="G66" s="46" t="s">
        <v>652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9.95" customHeight="1">
      <c r="A67" s="30" t="s">
        <v>103</v>
      </c>
      <c r="B67" s="18" t="s">
        <v>268</v>
      </c>
      <c r="C67" s="18" t="s">
        <v>96</v>
      </c>
      <c r="D67" s="18" t="s">
        <v>377</v>
      </c>
      <c r="E67" s="18" t="s">
        <v>689</v>
      </c>
      <c r="F67" s="31">
        <v>46295</v>
      </c>
      <c r="G67" s="46" t="s">
        <v>652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95" customHeight="1">
      <c r="A68" s="28" t="s">
        <v>103</v>
      </c>
      <c r="B68" s="16" t="s">
        <v>268</v>
      </c>
      <c r="C68" s="16" t="s">
        <v>96</v>
      </c>
      <c r="D68" s="16" t="s">
        <v>380</v>
      </c>
      <c r="E68" s="16" t="s">
        <v>690</v>
      </c>
      <c r="F68" s="29">
        <v>46295</v>
      </c>
      <c r="G68" s="46" t="s">
        <v>652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95" customHeight="1">
      <c r="A69" s="30" t="s">
        <v>103</v>
      </c>
      <c r="B69" s="18" t="s">
        <v>268</v>
      </c>
      <c r="C69" s="18" t="s">
        <v>96</v>
      </c>
      <c r="D69" s="18" t="s">
        <v>383</v>
      </c>
      <c r="E69" s="18" t="s">
        <v>691</v>
      </c>
      <c r="F69" s="31">
        <v>46295</v>
      </c>
      <c r="G69" s="46" t="s">
        <v>652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95" customHeight="1">
      <c r="A70" s="28" t="s">
        <v>103</v>
      </c>
      <c r="B70" s="16" t="s">
        <v>268</v>
      </c>
      <c r="C70" s="16" t="s">
        <v>96</v>
      </c>
      <c r="D70" s="16" t="s">
        <v>386</v>
      </c>
      <c r="E70" s="16" t="s">
        <v>692</v>
      </c>
      <c r="F70" s="29">
        <v>46295</v>
      </c>
      <c r="G70" s="46" t="s">
        <v>652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95" customHeight="1">
      <c r="A71" s="30" t="s">
        <v>103</v>
      </c>
      <c r="B71" s="18" t="s">
        <v>268</v>
      </c>
      <c r="C71" s="18" t="s">
        <v>96</v>
      </c>
      <c r="D71" s="18" t="s">
        <v>389</v>
      </c>
      <c r="E71" s="18" t="s">
        <v>693</v>
      </c>
      <c r="F71" s="31">
        <v>46295</v>
      </c>
      <c r="G71" s="46" t="s">
        <v>652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95" customHeight="1">
      <c r="A72" s="28" t="s">
        <v>103</v>
      </c>
      <c r="B72" s="16" t="s">
        <v>268</v>
      </c>
      <c r="C72" s="16" t="s">
        <v>96</v>
      </c>
      <c r="D72" s="16" t="s">
        <v>392</v>
      </c>
      <c r="E72" s="16" t="s">
        <v>694</v>
      </c>
      <c r="F72" s="29">
        <v>46295</v>
      </c>
      <c r="G72" s="46" t="s">
        <v>652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95" customHeight="1">
      <c r="A73" s="30" t="s">
        <v>109</v>
      </c>
      <c r="B73" s="18" t="s">
        <v>268</v>
      </c>
      <c r="C73" s="18" t="s">
        <v>104</v>
      </c>
      <c r="D73" s="18" t="s">
        <v>395</v>
      </c>
      <c r="E73" s="18" t="s">
        <v>695</v>
      </c>
      <c r="F73" s="31">
        <v>46295</v>
      </c>
      <c r="G73" s="46" t="s">
        <v>652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95" customHeight="1">
      <c r="A74" s="28" t="s">
        <v>109</v>
      </c>
      <c r="B74" s="16" t="s">
        <v>268</v>
      </c>
      <c r="C74" s="16" t="s">
        <v>104</v>
      </c>
      <c r="D74" s="16" t="s">
        <v>398</v>
      </c>
      <c r="E74" s="16" t="s">
        <v>696</v>
      </c>
      <c r="F74" s="29">
        <v>46295</v>
      </c>
      <c r="G74" s="46" t="s">
        <v>652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95" customHeight="1">
      <c r="A75" s="30" t="s">
        <v>109</v>
      </c>
      <c r="B75" s="18" t="s">
        <v>268</v>
      </c>
      <c r="C75" s="18" t="s">
        <v>104</v>
      </c>
      <c r="D75" s="18" t="s">
        <v>401</v>
      </c>
      <c r="E75" s="18" t="s">
        <v>697</v>
      </c>
      <c r="F75" s="31">
        <v>46295</v>
      </c>
      <c r="G75" s="46" t="s">
        <v>652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95" customHeight="1">
      <c r="A76" s="28" t="s">
        <v>109</v>
      </c>
      <c r="B76" s="16" t="s">
        <v>268</v>
      </c>
      <c r="C76" s="16" t="s">
        <v>104</v>
      </c>
      <c r="D76" s="16" t="s">
        <v>403</v>
      </c>
      <c r="E76" s="16" t="s">
        <v>698</v>
      </c>
      <c r="F76" s="29">
        <v>46295</v>
      </c>
      <c r="G76" s="46" t="s">
        <v>652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95" customHeight="1">
      <c r="A77" s="30" t="s">
        <v>109</v>
      </c>
      <c r="B77" s="18" t="s">
        <v>268</v>
      </c>
      <c r="C77" s="18" t="s">
        <v>104</v>
      </c>
      <c r="D77" s="18" t="s">
        <v>406</v>
      </c>
      <c r="E77" s="18" t="s">
        <v>699</v>
      </c>
      <c r="F77" s="31">
        <v>46295</v>
      </c>
      <c r="G77" s="46" t="s">
        <v>652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95" customHeight="1">
      <c r="A78" s="28" t="s">
        <v>109</v>
      </c>
      <c r="B78" s="16" t="s">
        <v>268</v>
      </c>
      <c r="C78" s="16" t="s">
        <v>104</v>
      </c>
      <c r="D78" s="16" t="s">
        <v>409</v>
      </c>
      <c r="E78" s="16" t="s">
        <v>700</v>
      </c>
      <c r="F78" s="29">
        <v>46295</v>
      </c>
      <c r="G78" s="46" t="s">
        <v>652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95" customHeight="1">
      <c r="A79" s="30" t="s">
        <v>109</v>
      </c>
      <c r="B79" s="18" t="s">
        <v>268</v>
      </c>
      <c r="C79" s="18" t="s">
        <v>104</v>
      </c>
      <c r="D79" s="18" t="s">
        <v>412</v>
      </c>
      <c r="E79" s="18" t="s">
        <v>701</v>
      </c>
      <c r="F79" s="31">
        <v>46295</v>
      </c>
      <c r="G79" s="46" t="s">
        <v>652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95" customHeight="1">
      <c r="A80" s="28" t="s">
        <v>109</v>
      </c>
      <c r="B80" s="16" t="s">
        <v>268</v>
      </c>
      <c r="C80" s="16" t="s">
        <v>104</v>
      </c>
      <c r="D80" s="16" t="s">
        <v>415</v>
      </c>
      <c r="E80" s="16" t="s">
        <v>702</v>
      </c>
      <c r="F80" s="29">
        <v>46295</v>
      </c>
      <c r="G80" s="46" t="s">
        <v>652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95" customHeight="1">
      <c r="A81" s="30" t="s">
        <v>109</v>
      </c>
      <c r="B81" s="18" t="s">
        <v>268</v>
      </c>
      <c r="C81" s="18" t="s">
        <v>104</v>
      </c>
      <c r="D81" s="18" t="s">
        <v>418</v>
      </c>
      <c r="E81" s="18" t="s">
        <v>703</v>
      </c>
      <c r="F81" s="31">
        <v>46295</v>
      </c>
      <c r="G81" s="46" t="s">
        <v>652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95" customHeight="1">
      <c r="A82" s="28" t="s">
        <v>109</v>
      </c>
      <c r="B82" s="16" t="s">
        <v>268</v>
      </c>
      <c r="C82" s="16" t="s">
        <v>104</v>
      </c>
      <c r="D82" s="16" t="s">
        <v>421</v>
      </c>
      <c r="E82" s="16" t="s">
        <v>704</v>
      </c>
      <c r="F82" s="29">
        <v>46295</v>
      </c>
      <c r="G82" s="46" t="s">
        <v>652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95" customHeight="1">
      <c r="A83" s="30" t="s">
        <v>109</v>
      </c>
      <c r="B83" s="18" t="s">
        <v>268</v>
      </c>
      <c r="C83" s="18" t="s">
        <v>104</v>
      </c>
      <c r="D83" s="18" t="s">
        <v>424</v>
      </c>
      <c r="E83" s="18" t="s">
        <v>705</v>
      </c>
      <c r="F83" s="31">
        <v>46295</v>
      </c>
      <c r="G83" s="46" t="s">
        <v>652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95" customHeight="1">
      <c r="A84" s="28" t="s">
        <v>109</v>
      </c>
      <c r="B84" s="16" t="s">
        <v>268</v>
      </c>
      <c r="C84" s="16" t="s">
        <v>104</v>
      </c>
      <c r="D84" s="16" t="s">
        <v>427</v>
      </c>
      <c r="E84" s="16" t="s">
        <v>706</v>
      </c>
      <c r="F84" s="29">
        <v>46295</v>
      </c>
      <c r="G84" s="46" t="s">
        <v>652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95" customHeight="1">
      <c r="A85" s="30" t="s">
        <v>109</v>
      </c>
      <c r="B85" s="18" t="s">
        <v>268</v>
      </c>
      <c r="C85" s="18" t="s">
        <v>104</v>
      </c>
      <c r="D85" s="18" t="s">
        <v>430</v>
      </c>
      <c r="E85" s="18" t="s">
        <v>707</v>
      </c>
      <c r="F85" s="31">
        <v>46295</v>
      </c>
      <c r="G85" s="46" t="s">
        <v>652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95" customHeight="1">
      <c r="A86" s="28" t="s">
        <v>109</v>
      </c>
      <c r="B86" s="16" t="s">
        <v>268</v>
      </c>
      <c r="C86" s="16" t="s">
        <v>104</v>
      </c>
      <c r="D86" s="16" t="s">
        <v>433</v>
      </c>
      <c r="E86" s="16" t="s">
        <v>708</v>
      </c>
      <c r="F86" s="29">
        <v>46295</v>
      </c>
      <c r="G86" s="46" t="s">
        <v>652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95" customHeight="1">
      <c r="A87" s="30" t="s">
        <v>109</v>
      </c>
      <c r="B87" s="18" t="s">
        <v>268</v>
      </c>
      <c r="C87" s="18" t="s">
        <v>104</v>
      </c>
      <c r="D87" s="18" t="s">
        <v>436</v>
      </c>
      <c r="E87" s="18" t="s">
        <v>709</v>
      </c>
      <c r="F87" s="31">
        <v>46295</v>
      </c>
      <c r="G87" s="46" t="s">
        <v>652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95" customHeight="1">
      <c r="A88" s="28" t="s">
        <v>109</v>
      </c>
      <c r="B88" s="16" t="s">
        <v>268</v>
      </c>
      <c r="C88" s="16" t="s">
        <v>104</v>
      </c>
      <c r="D88" s="16" t="s">
        <v>439</v>
      </c>
      <c r="E88" s="16" t="s">
        <v>710</v>
      </c>
      <c r="F88" s="29">
        <v>46295</v>
      </c>
      <c r="G88" s="46" t="s">
        <v>652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95" customHeight="1">
      <c r="A89" s="30" t="s">
        <v>115</v>
      </c>
      <c r="B89" s="18" t="s">
        <v>268</v>
      </c>
      <c r="C89" s="18" t="s">
        <v>110</v>
      </c>
      <c r="D89" s="18" t="s">
        <v>442</v>
      </c>
      <c r="E89" s="18" t="s">
        <v>711</v>
      </c>
      <c r="F89" s="31">
        <v>46295</v>
      </c>
      <c r="G89" s="46" t="s">
        <v>652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95" customHeight="1">
      <c r="A90" s="28" t="s">
        <v>115</v>
      </c>
      <c r="B90" s="16" t="s">
        <v>268</v>
      </c>
      <c r="C90" s="16" t="s">
        <v>110</v>
      </c>
      <c r="D90" s="16" t="s">
        <v>445</v>
      </c>
      <c r="E90" s="16" t="s">
        <v>712</v>
      </c>
      <c r="F90" s="29">
        <v>46295</v>
      </c>
      <c r="G90" s="46" t="s">
        <v>652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95" customHeight="1">
      <c r="A91" s="30" t="s">
        <v>115</v>
      </c>
      <c r="B91" s="18" t="s">
        <v>268</v>
      </c>
      <c r="C91" s="18" t="s">
        <v>110</v>
      </c>
      <c r="D91" s="18" t="s">
        <v>448</v>
      </c>
      <c r="E91" s="18" t="s">
        <v>713</v>
      </c>
      <c r="F91" s="31">
        <v>46295</v>
      </c>
      <c r="G91" s="46" t="s">
        <v>652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95" customHeight="1">
      <c r="A92" s="28" t="s">
        <v>115</v>
      </c>
      <c r="B92" s="16" t="s">
        <v>268</v>
      </c>
      <c r="C92" s="16" t="s">
        <v>110</v>
      </c>
      <c r="D92" s="16" t="s">
        <v>451</v>
      </c>
      <c r="E92" s="16" t="s">
        <v>714</v>
      </c>
      <c r="F92" s="29">
        <v>46295</v>
      </c>
      <c r="G92" s="46" t="s">
        <v>652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95" customHeight="1">
      <c r="A93" s="30" t="s">
        <v>115</v>
      </c>
      <c r="B93" s="18" t="s">
        <v>268</v>
      </c>
      <c r="C93" s="18" t="s">
        <v>110</v>
      </c>
      <c r="D93" s="18" t="s">
        <v>454</v>
      </c>
      <c r="E93" s="18" t="s">
        <v>715</v>
      </c>
      <c r="F93" s="31">
        <v>46295</v>
      </c>
      <c r="G93" s="46" t="s">
        <v>652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95" customHeight="1">
      <c r="A94" s="28" t="s">
        <v>115</v>
      </c>
      <c r="B94" s="16" t="s">
        <v>268</v>
      </c>
      <c r="C94" s="16" t="s">
        <v>110</v>
      </c>
      <c r="D94" s="16" t="s">
        <v>456</v>
      </c>
      <c r="E94" s="16" t="s">
        <v>716</v>
      </c>
      <c r="F94" s="29">
        <v>46295</v>
      </c>
      <c r="G94" s="46" t="s">
        <v>652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95" customHeight="1">
      <c r="A95" s="30" t="s">
        <v>115</v>
      </c>
      <c r="B95" s="18" t="s">
        <v>268</v>
      </c>
      <c r="C95" s="18" t="s">
        <v>110</v>
      </c>
      <c r="D95" s="18" t="s">
        <v>458</v>
      </c>
      <c r="E95" s="18" t="s">
        <v>717</v>
      </c>
      <c r="F95" s="31">
        <v>46295</v>
      </c>
      <c r="G95" s="46" t="s">
        <v>652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95" customHeight="1">
      <c r="A96" s="28" t="s">
        <v>115</v>
      </c>
      <c r="B96" s="16" t="s">
        <v>268</v>
      </c>
      <c r="C96" s="16" t="s">
        <v>110</v>
      </c>
      <c r="D96" s="16" t="s">
        <v>460</v>
      </c>
      <c r="E96" s="16" t="s">
        <v>718</v>
      </c>
      <c r="F96" s="29">
        <v>46295</v>
      </c>
      <c r="G96" s="46" t="s">
        <v>652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95" customHeight="1">
      <c r="A97" s="30" t="s">
        <v>115</v>
      </c>
      <c r="B97" s="18" t="s">
        <v>268</v>
      </c>
      <c r="C97" s="18" t="s">
        <v>110</v>
      </c>
      <c r="D97" s="18" t="s">
        <v>463</v>
      </c>
      <c r="E97" s="18" t="s">
        <v>719</v>
      </c>
      <c r="F97" s="31">
        <v>46295</v>
      </c>
      <c r="G97" s="46" t="s">
        <v>652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95" customHeight="1">
      <c r="A98" s="28" t="s">
        <v>124</v>
      </c>
      <c r="B98" s="16" t="s">
        <v>268</v>
      </c>
      <c r="C98" s="16" t="s">
        <v>116</v>
      </c>
      <c r="D98" s="16" t="s">
        <v>465</v>
      </c>
      <c r="E98" s="16" t="s">
        <v>720</v>
      </c>
      <c r="F98" s="29">
        <v>46295</v>
      </c>
      <c r="G98" s="46" t="s">
        <v>652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95" customHeight="1">
      <c r="A99" s="30" t="s">
        <v>124</v>
      </c>
      <c r="B99" s="18" t="s">
        <v>268</v>
      </c>
      <c r="C99" s="18" t="s">
        <v>116</v>
      </c>
      <c r="D99" s="18" t="s">
        <v>468</v>
      </c>
      <c r="E99" s="18" t="s">
        <v>721</v>
      </c>
      <c r="F99" s="31">
        <v>46295</v>
      </c>
      <c r="G99" s="46" t="s">
        <v>652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95" customHeight="1">
      <c r="A100" s="28" t="s">
        <v>124</v>
      </c>
      <c r="B100" s="16" t="s">
        <v>268</v>
      </c>
      <c r="C100" s="16" t="s">
        <v>116</v>
      </c>
      <c r="D100" s="16" t="s">
        <v>470</v>
      </c>
      <c r="E100" s="16" t="s">
        <v>722</v>
      </c>
      <c r="F100" s="29">
        <v>46295</v>
      </c>
      <c r="G100" s="46" t="s">
        <v>652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95" customHeight="1">
      <c r="A101" s="30" t="s">
        <v>124</v>
      </c>
      <c r="B101" s="18" t="s">
        <v>268</v>
      </c>
      <c r="C101" s="18" t="s">
        <v>116</v>
      </c>
      <c r="D101" s="18" t="s">
        <v>472</v>
      </c>
      <c r="E101" s="18" t="s">
        <v>723</v>
      </c>
      <c r="F101" s="31">
        <v>46295</v>
      </c>
      <c r="G101" s="46" t="s">
        <v>652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95" customHeight="1">
      <c r="A102" s="28" t="s">
        <v>124</v>
      </c>
      <c r="B102" s="16" t="s">
        <v>268</v>
      </c>
      <c r="C102" s="16" t="s">
        <v>116</v>
      </c>
      <c r="D102" s="16" t="s">
        <v>475</v>
      </c>
      <c r="E102" s="16" t="s">
        <v>724</v>
      </c>
      <c r="F102" s="29">
        <v>46295</v>
      </c>
      <c r="G102" s="46" t="s">
        <v>652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95" customHeight="1">
      <c r="A103" s="30" t="s">
        <v>124</v>
      </c>
      <c r="B103" s="18" t="s">
        <v>268</v>
      </c>
      <c r="C103" s="18" t="s">
        <v>116</v>
      </c>
      <c r="D103" s="18" t="s">
        <v>478</v>
      </c>
      <c r="E103" s="18" t="s">
        <v>725</v>
      </c>
      <c r="F103" s="31">
        <v>46295</v>
      </c>
      <c r="G103" s="46" t="s">
        <v>652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95" customHeight="1">
      <c r="A104" s="28" t="s">
        <v>132</v>
      </c>
      <c r="B104" s="16" t="s">
        <v>268</v>
      </c>
      <c r="C104" s="16" t="s">
        <v>125</v>
      </c>
      <c r="D104" s="16" t="s">
        <v>481</v>
      </c>
      <c r="E104" s="16" t="s">
        <v>726</v>
      </c>
      <c r="F104" s="29">
        <v>46295</v>
      </c>
      <c r="G104" s="46" t="s">
        <v>652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95" customHeight="1">
      <c r="A105" s="30" t="s">
        <v>132</v>
      </c>
      <c r="B105" s="18" t="s">
        <v>268</v>
      </c>
      <c r="C105" s="18" t="s">
        <v>125</v>
      </c>
      <c r="D105" s="18" t="s">
        <v>483</v>
      </c>
      <c r="E105" s="18" t="s">
        <v>727</v>
      </c>
      <c r="F105" s="31">
        <v>46295</v>
      </c>
      <c r="G105" s="46" t="s">
        <v>652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95" customHeight="1">
      <c r="A106" s="28" t="s">
        <v>132</v>
      </c>
      <c r="B106" s="16" t="s">
        <v>268</v>
      </c>
      <c r="C106" s="16" t="s">
        <v>125</v>
      </c>
      <c r="D106" s="16" t="s">
        <v>485</v>
      </c>
      <c r="E106" s="16" t="s">
        <v>728</v>
      </c>
      <c r="F106" s="29">
        <v>46295</v>
      </c>
      <c r="G106" s="46" t="s">
        <v>652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95" customHeight="1">
      <c r="A107" s="30" t="s">
        <v>132</v>
      </c>
      <c r="B107" s="18" t="s">
        <v>268</v>
      </c>
      <c r="C107" s="18" t="s">
        <v>125</v>
      </c>
      <c r="D107" s="18" t="s">
        <v>488</v>
      </c>
      <c r="E107" s="18" t="s">
        <v>729</v>
      </c>
      <c r="F107" s="31">
        <v>46295</v>
      </c>
      <c r="G107" s="46" t="s">
        <v>652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95" customHeight="1">
      <c r="A108" s="28" t="s">
        <v>132</v>
      </c>
      <c r="B108" s="16" t="s">
        <v>268</v>
      </c>
      <c r="C108" s="16" t="s">
        <v>125</v>
      </c>
      <c r="D108" s="16" t="s">
        <v>491</v>
      </c>
      <c r="E108" s="16" t="s">
        <v>730</v>
      </c>
      <c r="F108" s="29">
        <v>46295</v>
      </c>
      <c r="G108" s="46" t="s">
        <v>652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95" customHeight="1">
      <c r="A109" s="30" t="s">
        <v>132</v>
      </c>
      <c r="B109" s="18" t="s">
        <v>268</v>
      </c>
      <c r="C109" s="18" t="s">
        <v>125</v>
      </c>
      <c r="D109" s="18" t="s">
        <v>494</v>
      </c>
      <c r="E109" s="18" t="s">
        <v>731</v>
      </c>
      <c r="F109" s="31">
        <v>46295</v>
      </c>
      <c r="G109" s="46" t="s">
        <v>652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95" customHeight="1">
      <c r="A110" s="28" t="s">
        <v>132</v>
      </c>
      <c r="B110" s="16" t="s">
        <v>268</v>
      </c>
      <c r="C110" s="16" t="s">
        <v>125</v>
      </c>
      <c r="D110" s="16" t="s">
        <v>497</v>
      </c>
      <c r="E110" s="16" t="s">
        <v>732</v>
      </c>
      <c r="F110" s="29">
        <v>46295</v>
      </c>
      <c r="G110" s="46" t="s">
        <v>652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95" customHeight="1">
      <c r="A111" s="30" t="s">
        <v>132</v>
      </c>
      <c r="B111" s="18" t="s">
        <v>268</v>
      </c>
      <c r="C111" s="18" t="s">
        <v>125</v>
      </c>
      <c r="D111" s="18" t="s">
        <v>500</v>
      </c>
      <c r="E111" s="18" t="s">
        <v>733</v>
      </c>
      <c r="F111" s="31">
        <v>46295</v>
      </c>
      <c r="G111" s="46" t="s">
        <v>652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95" customHeight="1">
      <c r="A112" s="28" t="s">
        <v>132</v>
      </c>
      <c r="B112" s="16" t="s">
        <v>268</v>
      </c>
      <c r="C112" s="16" t="s">
        <v>125</v>
      </c>
      <c r="D112" s="16" t="s">
        <v>503</v>
      </c>
      <c r="E112" s="16" t="s">
        <v>734</v>
      </c>
      <c r="F112" s="29">
        <v>46295</v>
      </c>
      <c r="G112" s="46" t="s">
        <v>652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95" customHeight="1">
      <c r="A113" s="30" t="s">
        <v>132</v>
      </c>
      <c r="B113" s="18" t="s">
        <v>268</v>
      </c>
      <c r="C113" s="18" t="s">
        <v>125</v>
      </c>
      <c r="D113" s="18" t="s">
        <v>506</v>
      </c>
      <c r="E113" s="18" t="s">
        <v>735</v>
      </c>
      <c r="F113" s="31">
        <v>46295</v>
      </c>
      <c r="G113" s="46" t="s">
        <v>652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95" customHeight="1">
      <c r="A114" s="28" t="s">
        <v>132</v>
      </c>
      <c r="B114" s="16" t="s">
        <v>268</v>
      </c>
      <c r="C114" s="16" t="s">
        <v>125</v>
      </c>
      <c r="D114" s="16" t="s">
        <v>509</v>
      </c>
      <c r="E114" s="16" t="s">
        <v>736</v>
      </c>
      <c r="F114" s="29">
        <v>46295</v>
      </c>
      <c r="G114" s="46" t="s">
        <v>652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95" customHeight="1">
      <c r="A115" s="30" t="s">
        <v>132</v>
      </c>
      <c r="B115" s="18" t="s">
        <v>268</v>
      </c>
      <c r="C115" s="18" t="s">
        <v>125</v>
      </c>
      <c r="D115" s="18" t="s">
        <v>512</v>
      </c>
      <c r="E115" s="18" t="s">
        <v>737</v>
      </c>
      <c r="F115" s="31">
        <v>46295</v>
      </c>
      <c r="G115" s="46" t="s">
        <v>652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95" customHeight="1">
      <c r="A116" s="28" t="s">
        <v>132</v>
      </c>
      <c r="B116" s="16" t="s">
        <v>268</v>
      </c>
      <c r="C116" s="16" t="s">
        <v>125</v>
      </c>
      <c r="D116" s="16" t="s">
        <v>515</v>
      </c>
      <c r="E116" s="16" t="s">
        <v>738</v>
      </c>
      <c r="F116" s="29">
        <v>46295</v>
      </c>
      <c r="G116" s="46" t="s">
        <v>652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95" customHeight="1">
      <c r="A117" s="30" t="s">
        <v>132</v>
      </c>
      <c r="B117" s="18" t="s">
        <v>268</v>
      </c>
      <c r="C117" s="18" t="s">
        <v>125</v>
      </c>
      <c r="D117" s="18" t="s">
        <v>518</v>
      </c>
      <c r="E117" s="18" t="s">
        <v>739</v>
      </c>
      <c r="F117" s="31">
        <v>46295</v>
      </c>
      <c r="G117" s="46" t="s">
        <v>652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95" customHeight="1">
      <c r="A118" s="28" t="s">
        <v>139</v>
      </c>
      <c r="B118" s="16" t="s">
        <v>268</v>
      </c>
      <c r="C118" s="16" t="s">
        <v>133</v>
      </c>
      <c r="D118" s="16" t="s">
        <v>521</v>
      </c>
      <c r="E118" s="16" t="s">
        <v>740</v>
      </c>
      <c r="F118" s="29">
        <v>46295</v>
      </c>
      <c r="G118" s="47" t="s">
        <v>666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95" customHeight="1">
      <c r="A119" s="30" t="s">
        <v>139</v>
      </c>
      <c r="B119" s="18" t="s">
        <v>268</v>
      </c>
      <c r="C119" s="18" t="s">
        <v>133</v>
      </c>
      <c r="D119" s="18" t="s">
        <v>524</v>
      </c>
      <c r="E119" s="18" t="s">
        <v>741</v>
      </c>
      <c r="F119" s="31">
        <v>46295</v>
      </c>
      <c r="G119" s="47" t="s">
        <v>666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95" customHeight="1">
      <c r="A120" s="28" t="s">
        <v>139</v>
      </c>
      <c r="B120" s="16" t="s">
        <v>268</v>
      </c>
      <c r="C120" s="16" t="s">
        <v>133</v>
      </c>
      <c r="D120" s="16" t="s">
        <v>526</v>
      </c>
      <c r="E120" s="16" t="s">
        <v>742</v>
      </c>
      <c r="F120" s="29">
        <v>46295</v>
      </c>
      <c r="G120" s="47" t="s">
        <v>666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95" customHeight="1">
      <c r="A121" s="30" t="s">
        <v>139</v>
      </c>
      <c r="B121" s="18" t="s">
        <v>268</v>
      </c>
      <c r="C121" s="18" t="s">
        <v>133</v>
      </c>
      <c r="D121" s="18" t="s">
        <v>529</v>
      </c>
      <c r="E121" s="18" t="s">
        <v>743</v>
      </c>
      <c r="F121" s="31">
        <v>46295</v>
      </c>
      <c r="G121" s="47" t="s">
        <v>666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95" customHeight="1">
      <c r="A122" s="28" t="s">
        <v>139</v>
      </c>
      <c r="B122" s="16" t="s">
        <v>268</v>
      </c>
      <c r="C122" s="16" t="s">
        <v>133</v>
      </c>
      <c r="D122" s="16" t="s">
        <v>531</v>
      </c>
      <c r="E122" s="16" t="s">
        <v>744</v>
      </c>
      <c r="F122" s="29">
        <v>46295</v>
      </c>
      <c r="G122" s="47" t="s">
        <v>666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95" customHeight="1">
      <c r="A123" s="30" t="s">
        <v>145</v>
      </c>
      <c r="B123" s="18" t="s">
        <v>268</v>
      </c>
      <c r="C123" s="18" t="s">
        <v>140</v>
      </c>
      <c r="D123" s="18" t="s">
        <v>533</v>
      </c>
      <c r="E123" s="18" t="s">
        <v>745</v>
      </c>
      <c r="F123" s="31">
        <v>46295</v>
      </c>
      <c r="G123" s="47" t="s">
        <v>666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95" customHeight="1">
      <c r="A124" s="28" t="s">
        <v>145</v>
      </c>
      <c r="B124" s="16" t="s">
        <v>268</v>
      </c>
      <c r="C124" s="16" t="s">
        <v>140</v>
      </c>
      <c r="D124" s="16" t="s">
        <v>535</v>
      </c>
      <c r="E124" s="16" t="s">
        <v>746</v>
      </c>
      <c r="F124" s="29">
        <v>46295</v>
      </c>
      <c r="G124" s="47" t="s">
        <v>666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95" customHeight="1">
      <c r="A125" s="30" t="s">
        <v>145</v>
      </c>
      <c r="B125" s="18" t="s">
        <v>268</v>
      </c>
      <c r="C125" s="18" t="s">
        <v>140</v>
      </c>
      <c r="D125" s="18" t="s">
        <v>537</v>
      </c>
      <c r="E125" s="18" t="s">
        <v>747</v>
      </c>
      <c r="F125" s="31">
        <v>46295</v>
      </c>
      <c r="G125" s="47" t="s">
        <v>666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95" customHeight="1">
      <c r="A126" s="28" t="s">
        <v>152</v>
      </c>
      <c r="B126" s="16" t="s">
        <v>268</v>
      </c>
      <c r="C126" s="16" t="s">
        <v>146</v>
      </c>
      <c r="D126" s="16" t="s">
        <v>539</v>
      </c>
      <c r="E126" s="16" t="s">
        <v>748</v>
      </c>
      <c r="F126" s="29">
        <v>46295</v>
      </c>
      <c r="G126" s="47" t="s">
        <v>666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95" customHeight="1">
      <c r="A127" s="30" t="s">
        <v>152</v>
      </c>
      <c r="B127" s="18" t="s">
        <v>268</v>
      </c>
      <c r="C127" s="18" t="s">
        <v>146</v>
      </c>
      <c r="D127" s="18" t="s">
        <v>541</v>
      </c>
      <c r="E127" s="18" t="s">
        <v>749</v>
      </c>
      <c r="F127" s="31">
        <v>46295</v>
      </c>
      <c r="G127" s="47" t="s">
        <v>666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95" customHeight="1">
      <c r="A128" s="28" t="s">
        <v>152</v>
      </c>
      <c r="B128" s="16" t="s">
        <v>268</v>
      </c>
      <c r="C128" s="16" t="s">
        <v>146</v>
      </c>
      <c r="D128" s="16" t="s">
        <v>543</v>
      </c>
      <c r="E128" s="16" t="s">
        <v>750</v>
      </c>
      <c r="F128" s="29">
        <v>46295</v>
      </c>
      <c r="G128" s="47" t="s">
        <v>666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95" customHeight="1">
      <c r="A129" s="30" t="s">
        <v>159</v>
      </c>
      <c r="B129" s="18" t="s">
        <v>268</v>
      </c>
      <c r="C129" s="18" t="s">
        <v>153</v>
      </c>
      <c r="D129" s="18" t="s">
        <v>545</v>
      </c>
      <c r="E129" s="18" t="s">
        <v>751</v>
      </c>
      <c r="F129" s="31">
        <v>46295</v>
      </c>
      <c r="G129" s="47" t="s">
        <v>666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95" customHeight="1">
      <c r="A130" s="28" t="s">
        <v>159</v>
      </c>
      <c r="B130" s="16" t="s">
        <v>268</v>
      </c>
      <c r="C130" s="16" t="s">
        <v>153</v>
      </c>
      <c r="D130" s="16" t="s">
        <v>548</v>
      </c>
      <c r="E130" s="16" t="s">
        <v>752</v>
      </c>
      <c r="F130" s="29">
        <v>46295</v>
      </c>
      <c r="G130" s="47" t="s">
        <v>666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</sheetData>
  <conditionalFormatting sqref="F6:F132">
    <cfRule type="cellIs" dxfId="0" priority="1" operator="lessThan">
      <formula>TODAY()-90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B6B"/>
  </sheetPr>
  <dimension ref="A1:Z14"/>
  <sheetViews>
    <sheetView showGridLines="0" topLeftCell="M1" workbookViewId="0">
      <pane ySplit="5" topLeftCell="A6" activePane="bottomLeft" state="frozen"/>
      <selection pane="bottomLeft"/>
    </sheetView>
  </sheetViews>
  <sheetFormatPr defaultRowHeight="13.8"/>
  <cols>
    <col min="1" max="1" width="26" customWidth="1"/>
    <col min="2" max="2" width="110" customWidth="1"/>
  </cols>
  <sheetData>
    <row r="1" spans="1:26" ht="28.05" customHeight="1">
      <c r="A1" s="6" t="s">
        <v>753</v>
      </c>
      <c r="B1" s="6"/>
    </row>
    <row r="2" spans="1:26" ht="19.95" customHeight="1">
      <c r="A2" s="7" t="s">
        <v>754</v>
      </c>
      <c r="B2" s="7"/>
    </row>
    <row r="3" spans="1:26">
      <c r="A3" s="8"/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5"/>
      <c r="B4" s="5"/>
    </row>
    <row r="5" spans="1:26">
      <c r="A5" s="11" t="s">
        <v>755</v>
      </c>
      <c r="B5" s="11" t="s">
        <v>756</v>
      </c>
    </row>
    <row r="6" spans="1:26" ht="27.6">
      <c r="A6" s="48" t="s">
        <v>757</v>
      </c>
      <c r="B6" s="49" t="s">
        <v>758</v>
      </c>
    </row>
    <row r="7" spans="1:26" ht="27.6">
      <c r="A7" s="48" t="s">
        <v>759</v>
      </c>
      <c r="B7" s="49" t="s">
        <v>760</v>
      </c>
    </row>
    <row r="8" spans="1:26">
      <c r="A8" s="48" t="s">
        <v>761</v>
      </c>
      <c r="B8" s="49" t="s">
        <v>762</v>
      </c>
    </row>
    <row r="9" spans="1:26" ht="27.6">
      <c r="A9" s="48" t="s">
        <v>763</v>
      </c>
      <c r="B9" s="49" t="s">
        <v>764</v>
      </c>
    </row>
    <row r="10" spans="1:26">
      <c r="A10" s="48" t="s">
        <v>765</v>
      </c>
      <c r="B10" s="49" t="s">
        <v>766</v>
      </c>
    </row>
    <row r="11" spans="1:26" ht="27.6">
      <c r="A11" s="48" t="s">
        <v>767</v>
      </c>
      <c r="B11" s="49" t="s">
        <v>768</v>
      </c>
    </row>
    <row r="12" spans="1:26" ht="27.6">
      <c r="A12" s="48" t="s">
        <v>769</v>
      </c>
      <c r="B12" s="49" t="s">
        <v>770</v>
      </c>
    </row>
    <row r="13" spans="1:26" ht="27.6">
      <c r="A13" s="48" t="s">
        <v>771</v>
      </c>
      <c r="B13" s="49" t="s">
        <v>772</v>
      </c>
    </row>
    <row r="14" spans="1:26">
      <c r="A14" s="50"/>
      <c r="B14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6B6B"/>
  </sheetPr>
  <dimension ref="A1:Z18"/>
  <sheetViews>
    <sheetView showGridLines="0" workbookViewId="0"/>
  </sheetViews>
  <sheetFormatPr defaultRowHeight="13.8"/>
  <cols>
    <col min="1" max="1" width="20" customWidth="1"/>
    <col min="2" max="2" width="14" customWidth="1"/>
    <col min="3" max="3" width="16" customWidth="1"/>
    <col min="4" max="4" width="18" customWidth="1"/>
    <col min="5" max="5" width="24" customWidth="1"/>
    <col min="6" max="6" width="16" customWidth="1"/>
    <col min="7" max="7" width="18" customWidth="1"/>
    <col min="8" max="8" width="27" customWidth="1"/>
    <col min="9" max="9" width="20" customWidth="1"/>
  </cols>
  <sheetData>
    <row r="1" spans="1:26" ht="28.05" customHeight="1">
      <c r="A1" s="6" t="s">
        <v>773</v>
      </c>
      <c r="B1" s="6"/>
      <c r="C1" s="6"/>
      <c r="D1" s="6"/>
      <c r="E1" s="6"/>
      <c r="F1" s="6"/>
      <c r="G1" s="6"/>
      <c r="H1" s="6"/>
      <c r="I1" s="6"/>
    </row>
    <row r="2" spans="1:26" ht="19.95" customHeight="1">
      <c r="A2" s="7" t="s">
        <v>774</v>
      </c>
      <c r="B2" s="7"/>
      <c r="C2" s="7"/>
      <c r="D2" s="7"/>
      <c r="E2" s="7"/>
      <c r="F2" s="7"/>
      <c r="G2" s="7"/>
      <c r="H2" s="7"/>
      <c r="I2" s="7"/>
    </row>
    <row r="3" spans="1:26">
      <c r="A3" s="8"/>
      <c r="B3" s="8"/>
      <c r="C3" s="8"/>
      <c r="D3" s="8"/>
      <c r="E3" s="8"/>
      <c r="F3" s="8"/>
      <c r="G3" s="8"/>
      <c r="H3" s="8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5"/>
      <c r="B4" s="5"/>
      <c r="C4" s="5"/>
      <c r="D4" s="5"/>
      <c r="E4" s="5"/>
      <c r="F4" s="5"/>
      <c r="G4" s="5"/>
      <c r="H4" s="5"/>
      <c r="I4" s="5"/>
    </row>
    <row r="5" spans="1:26" ht="30" customHeight="1">
      <c r="A5" s="27" t="s">
        <v>7</v>
      </c>
      <c r="B5" s="27" t="s">
        <v>775</v>
      </c>
      <c r="C5" s="27" t="s">
        <v>10</v>
      </c>
      <c r="D5" s="27" t="s">
        <v>38</v>
      </c>
      <c r="E5" s="27" t="s">
        <v>600</v>
      </c>
      <c r="F5" s="27" t="s">
        <v>776</v>
      </c>
      <c r="G5" s="27" t="s">
        <v>777</v>
      </c>
      <c r="H5" s="27" t="s">
        <v>250</v>
      </c>
      <c r="I5" s="27" t="s">
        <v>778</v>
      </c>
    </row>
    <row r="6" spans="1:26" ht="19.95" customHeight="1">
      <c r="A6" s="28" t="s">
        <v>13</v>
      </c>
      <c r="B6" s="16" t="s">
        <v>75</v>
      </c>
      <c r="C6" s="16" t="s">
        <v>15</v>
      </c>
      <c r="D6" s="16" t="s">
        <v>40</v>
      </c>
      <c r="E6" s="16" t="s">
        <v>779</v>
      </c>
      <c r="F6" s="16" t="s">
        <v>569</v>
      </c>
      <c r="G6" s="16" t="s">
        <v>77</v>
      </c>
      <c r="H6" s="16" t="s">
        <v>265</v>
      </c>
      <c r="I6" s="33" t="s">
        <v>266</v>
      </c>
    </row>
    <row r="7" spans="1:26" ht="19.95" customHeight="1">
      <c r="A7" s="30" t="s">
        <v>17</v>
      </c>
      <c r="B7" s="18" t="s">
        <v>122</v>
      </c>
      <c r="C7" s="18" t="s">
        <v>19</v>
      </c>
      <c r="D7" s="18" t="s">
        <v>42</v>
      </c>
      <c r="E7" s="18" t="s">
        <v>780</v>
      </c>
      <c r="F7" s="18" t="s">
        <v>612</v>
      </c>
      <c r="G7" s="18" t="s">
        <v>781</v>
      </c>
      <c r="H7" s="18" t="s">
        <v>289</v>
      </c>
      <c r="I7" s="35" t="s">
        <v>277</v>
      </c>
    </row>
    <row r="8" spans="1:26" ht="19.95" customHeight="1">
      <c r="A8" s="28" t="s">
        <v>21</v>
      </c>
      <c r="B8" s="16" t="s">
        <v>782</v>
      </c>
      <c r="C8" s="16" t="s">
        <v>23</v>
      </c>
      <c r="D8" s="16" t="s">
        <v>44</v>
      </c>
      <c r="E8" s="16" t="s">
        <v>76</v>
      </c>
      <c r="F8" s="16" t="s">
        <v>616</v>
      </c>
      <c r="G8" s="16" t="s">
        <v>783</v>
      </c>
      <c r="H8" s="16" t="s">
        <v>326</v>
      </c>
      <c r="I8" s="33" t="s">
        <v>290</v>
      </c>
    </row>
    <row r="9" spans="1:26" ht="19.95" customHeight="1">
      <c r="A9" s="30" t="s">
        <v>25</v>
      </c>
      <c r="B9" s="18"/>
      <c r="C9" s="18" t="s">
        <v>27</v>
      </c>
      <c r="D9" s="18" t="s">
        <v>46</v>
      </c>
      <c r="E9" s="18" t="s">
        <v>197</v>
      </c>
      <c r="F9" s="18" t="s">
        <v>784</v>
      </c>
      <c r="G9" s="18" t="s">
        <v>785</v>
      </c>
      <c r="H9" s="18" t="s">
        <v>342</v>
      </c>
      <c r="I9" s="35" t="s">
        <v>786</v>
      </c>
    </row>
    <row r="10" spans="1:26" ht="19.95" customHeight="1">
      <c r="A10" s="28" t="s">
        <v>29</v>
      </c>
      <c r="B10" s="16"/>
      <c r="C10" s="16" t="s">
        <v>30</v>
      </c>
      <c r="D10" s="16" t="s">
        <v>48</v>
      </c>
      <c r="E10" s="16" t="s">
        <v>787</v>
      </c>
      <c r="F10" s="16" t="s">
        <v>788</v>
      </c>
      <c r="G10" s="16" t="s">
        <v>789</v>
      </c>
      <c r="H10" s="16" t="s">
        <v>790</v>
      </c>
      <c r="I10" s="33" t="s">
        <v>791</v>
      </c>
    </row>
    <row r="11" spans="1:26" ht="19.95" customHeight="1">
      <c r="A11" s="30" t="s">
        <v>32</v>
      </c>
      <c r="B11" s="18"/>
      <c r="C11" s="18" t="s">
        <v>33</v>
      </c>
      <c r="D11" s="18" t="s">
        <v>49</v>
      </c>
      <c r="E11" s="18"/>
      <c r="F11" s="18"/>
      <c r="G11" s="18"/>
      <c r="H11" s="18" t="s">
        <v>280</v>
      </c>
      <c r="I11" s="35"/>
    </row>
    <row r="12" spans="1:26" ht="19.95" customHeight="1">
      <c r="A12" s="28"/>
      <c r="B12" s="16"/>
      <c r="C12" s="16" t="s">
        <v>792</v>
      </c>
      <c r="D12" s="16"/>
      <c r="E12" s="16"/>
      <c r="F12" s="16"/>
      <c r="G12" s="16"/>
      <c r="H12" s="16" t="s">
        <v>276</v>
      </c>
      <c r="I12" s="33"/>
    </row>
    <row r="13" spans="1:26" ht="19.95" customHeight="1">
      <c r="A13" s="30"/>
      <c r="B13" s="18"/>
      <c r="C13" s="18"/>
      <c r="D13" s="18"/>
      <c r="E13" s="18"/>
      <c r="F13" s="18"/>
      <c r="G13" s="18"/>
      <c r="H13" s="18" t="s">
        <v>313</v>
      </c>
      <c r="I13" s="35"/>
    </row>
    <row r="14" spans="1:26" ht="19.95" customHeight="1">
      <c r="A14" s="28"/>
      <c r="B14" s="16"/>
      <c r="C14" s="16"/>
      <c r="D14" s="16"/>
      <c r="E14" s="16"/>
      <c r="F14" s="16"/>
      <c r="G14" s="16"/>
      <c r="H14" s="16"/>
      <c r="I14" s="33"/>
    </row>
    <row r="15" spans="1:26" ht="19.95" customHeight="1">
      <c r="A15" s="30"/>
      <c r="B15" s="18"/>
      <c r="C15" s="18"/>
      <c r="D15" s="18"/>
      <c r="E15" s="18"/>
      <c r="F15" s="18"/>
      <c r="G15" s="18"/>
      <c r="H15" s="18"/>
      <c r="I15" s="35"/>
    </row>
    <row r="16" spans="1:26" ht="19.95" customHeight="1">
      <c r="A16" s="28"/>
      <c r="B16" s="16"/>
      <c r="C16" s="16"/>
      <c r="D16" s="16"/>
      <c r="E16" s="16"/>
      <c r="F16" s="16"/>
      <c r="G16" s="16"/>
      <c r="H16" s="16"/>
      <c r="I16" s="33"/>
    </row>
    <row r="17" spans="1:9" ht="19.95" customHeight="1">
      <c r="A17" s="30"/>
      <c r="B17" s="18"/>
      <c r="C17" s="18"/>
      <c r="D17" s="18"/>
      <c r="E17" s="18"/>
      <c r="F17" s="18"/>
      <c r="G17" s="18"/>
      <c r="H17" s="18"/>
      <c r="I17" s="35"/>
    </row>
    <row r="18" spans="1:9" ht="19.95" customHeight="1">
      <c r="A18" s="28"/>
      <c r="B18" s="16"/>
      <c r="C18" s="16"/>
      <c r="D18" s="16"/>
      <c r="E18" s="16"/>
      <c r="F18" s="16"/>
      <c r="G18" s="16"/>
      <c r="H18" s="16"/>
      <c r="I18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Accounts</vt:lpstr>
      <vt:lpstr>Contacts</vt:lpstr>
      <vt:lpstr>Opportunities</vt:lpstr>
      <vt:lpstr>Outreach &amp; Activities</vt:lpstr>
      <vt:lpstr>Research Sources</vt:lpstr>
      <vt:lpstr>How to Use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PARASHAR</cp:lastModifiedBy>
  <dcterms:modified xsi:type="dcterms:W3CDTF">2026-10-01T21:07:52Z</dcterms:modified>
</cp:coreProperties>
</file>